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beautifulcreations/Desktop/IT DEPT/QUOTATIONS AND PROFORMAS/QUOTATIONS/LOVE REALM/2026/GA EAST MUNICIPAL HOSPITAL/2026/SUPPLY OF HOSPITAL GENERAL ITEMS/"/>
    </mc:Choice>
  </mc:AlternateContent>
  <xr:revisionPtr revIDLastSave="0" documentId="13_ncr:1_{373654E1-357F-6B44-B413-3FD9482EB194}" xr6:coauthVersionLast="47" xr6:coauthVersionMax="47" xr10:uidLastSave="{00000000-0000-0000-0000-000000000000}"/>
  <bookViews>
    <workbookView xWindow="10020" yWindow="500" windowWidth="24140" windowHeight="16540" tabRatio="702" activeTab="1" xr2:uid="{00000000-000D-0000-FFFF-FFFF00000000}"/>
  </bookViews>
  <sheets>
    <sheet name="Book 1" sheetId="1" r:id="rId1"/>
    <sheet name="Book 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4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4" i="1"/>
</calcChain>
</file>

<file path=xl/sharedStrings.xml><?xml version="1.0" encoding="utf-8"?>
<sst xmlns="http://schemas.openxmlformats.org/spreadsheetml/2006/main" count="114" uniqueCount="43">
  <si>
    <t>ITEMS</t>
  </si>
  <si>
    <t>QUANTITY</t>
  </si>
  <si>
    <t>TOTAL PRICE (GH¢)</t>
  </si>
  <si>
    <t>No.</t>
  </si>
  <si>
    <t>UNIT PRICE (GH¢)</t>
  </si>
  <si>
    <t xml:space="preserve"> </t>
  </si>
  <si>
    <t>UNIT OF MEASURE</t>
  </si>
  <si>
    <t xml:space="preserve">GRAND TOTAL (GH¢) </t>
  </si>
  <si>
    <t>LOT 12: SUPPLY OF HOSPITAL GENERAL ITEMS</t>
  </si>
  <si>
    <t>Autoclave Tape</t>
  </si>
  <si>
    <t>Packets</t>
  </si>
  <si>
    <t>Dosi Flow</t>
  </si>
  <si>
    <t>Pieces</t>
  </si>
  <si>
    <t>Cord Clamps (1*100)</t>
  </si>
  <si>
    <t>Infant ID Bracelet (1*100)</t>
  </si>
  <si>
    <t>Wooden Spatula</t>
  </si>
  <si>
    <t>Gallons</t>
  </si>
  <si>
    <t>Non Rebreathable Mask (Infant / Paedics)</t>
  </si>
  <si>
    <t>Non Rebreathable Mask (Adult)</t>
  </si>
  <si>
    <t>Disposable Nurse Cap</t>
  </si>
  <si>
    <t>Oxygen Mask (Neonate)</t>
  </si>
  <si>
    <t>Oxygen Mask (Paedics)</t>
  </si>
  <si>
    <t>Oxygen Mask (Adult)</t>
  </si>
  <si>
    <t>Albustix (2PARA)</t>
  </si>
  <si>
    <t>Packs</t>
  </si>
  <si>
    <t>Blood Lancet (1*100)</t>
  </si>
  <si>
    <t>Paracetic Acid (Parasafe)</t>
  </si>
  <si>
    <t>Bottles</t>
  </si>
  <si>
    <t>Chest Tube with Bottle</t>
  </si>
  <si>
    <t>Perfuser Lines</t>
  </si>
  <si>
    <t>Surgical Facemask</t>
  </si>
  <si>
    <t>Infusion Pressure Bags</t>
  </si>
  <si>
    <t>Diathermy Pad (Reuseable)</t>
  </si>
  <si>
    <t>Diathermy Pencil</t>
  </si>
  <si>
    <t>Couch Roll</t>
  </si>
  <si>
    <t>Rolls</t>
  </si>
  <si>
    <t>Sterilization Crepe</t>
  </si>
  <si>
    <t>Ultrasound Gel</t>
  </si>
  <si>
    <t>ECG Recording Paper (Lifecare)</t>
  </si>
  <si>
    <t>IV Giving Set - Infusion</t>
  </si>
  <si>
    <t xml:space="preserve">Fetal Doppler </t>
  </si>
  <si>
    <t>Unit Px - 5%</t>
  </si>
  <si>
    <t>Total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</si>
</sst>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3" fontId="1" fillId="0" borderId="0" xfId="0" applyNumberFormat="1" applyFont="1" applyAlignment="1">
      <alignment horizontal="center"/>
    </xf>
    <xf numFmtId="9" fontId="1" fillId="0" borderId="4" xfId="0" applyNumberFormat="1" applyFont="1" applyBorder="1" applyAlignment="1">
      <alignment horizontal="right"/>
    </xf>
    <xf numFmtId="43" fontId="3" fillId="0" borderId="5" xfId="1" applyFont="1" applyBorder="1" applyAlignment="1">
      <alignment horizontal="right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9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43" fontId="5" fillId="0" borderId="0" xfId="1" applyFont="1" applyBorder="1"/>
    <xf numFmtId="43" fontId="5" fillId="0" borderId="3" xfId="1" applyFont="1" applyBorder="1"/>
    <xf numFmtId="43" fontId="5" fillId="0" borderId="0" xfId="1" applyFont="1" applyFill="1" applyBorder="1"/>
    <xf numFmtId="9" fontId="3" fillId="0" borderId="1" xfId="0" applyNumberFormat="1" applyFont="1" applyBorder="1"/>
    <xf numFmtId="0" fontId="2" fillId="0" borderId="2" xfId="0" applyFont="1" applyBorder="1" applyAlignment="1">
      <alignment horizontal="center" vertical="center" wrapText="1"/>
    </xf>
    <xf numFmtId="43" fontId="5" fillId="0" borderId="0" xfId="0" applyNumberFormat="1" applyFont="1"/>
    <xf numFmtId="43" fontId="3" fillId="0" borderId="0" xfId="0" applyNumberFormat="1" applyFont="1"/>
    <xf numFmtId="0" fontId="3" fillId="0" borderId="4" xfId="0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zoomScale="122" zoomScaleNormal="122" workbookViewId="0">
      <selection activeCell="G31" sqref="G31"/>
    </sheetView>
  </sheetViews>
  <sheetFormatPr baseColWidth="10" defaultColWidth="8.83203125" defaultRowHeight="15" x14ac:dyDescent="0.2"/>
  <cols>
    <col min="1" max="1" width="6.33203125" customWidth="1"/>
    <col min="2" max="2" width="6" style="1" customWidth="1"/>
    <col min="3" max="3" width="38.83203125" bestFit="1" customWidth="1"/>
    <col min="4" max="4" width="12.5" style="1" customWidth="1"/>
    <col min="5" max="5" width="12.6640625" style="1" bestFit="1" customWidth="1"/>
    <col min="6" max="6" width="13.5" customWidth="1"/>
    <col min="7" max="7" width="15" bestFit="1" customWidth="1"/>
  </cols>
  <sheetData>
    <row r="1" spans="2:9" ht="22.5" customHeight="1" x14ac:dyDescent="0.2"/>
    <row r="2" spans="2:9" ht="36" x14ac:dyDescent="0.2">
      <c r="B2" s="7" t="s">
        <v>3</v>
      </c>
      <c r="C2" s="7" t="s">
        <v>0</v>
      </c>
      <c r="D2" s="8" t="s">
        <v>6</v>
      </c>
      <c r="E2" s="7" t="s">
        <v>1</v>
      </c>
      <c r="F2" s="8" t="s">
        <v>4</v>
      </c>
      <c r="G2" s="8" t="s">
        <v>2</v>
      </c>
    </row>
    <row r="3" spans="2:9" ht="17" x14ac:dyDescent="0.2">
      <c r="B3" s="10"/>
      <c r="C3" s="29" t="s">
        <v>8</v>
      </c>
      <c r="D3" s="29"/>
      <c r="E3" s="17"/>
      <c r="F3" s="11"/>
      <c r="G3" s="12"/>
    </row>
    <row r="4" spans="2:9" ht="17" x14ac:dyDescent="0.2">
      <c r="B4" s="18">
        <v>1</v>
      </c>
      <c r="C4" s="19" t="s">
        <v>9</v>
      </c>
      <c r="D4" s="16" t="s">
        <v>10</v>
      </c>
      <c r="E4" s="20">
        <v>200</v>
      </c>
      <c r="F4" s="21">
        <v>28</v>
      </c>
      <c r="G4" s="22">
        <f>F4*E4</f>
        <v>5600</v>
      </c>
      <c r="I4" s="1"/>
    </row>
    <row r="5" spans="2:9" ht="17" x14ac:dyDescent="0.2">
      <c r="B5" s="18">
        <v>2</v>
      </c>
      <c r="C5" s="19" t="s">
        <v>11</v>
      </c>
      <c r="D5" s="16" t="s">
        <v>12</v>
      </c>
      <c r="E5" s="20">
        <v>400</v>
      </c>
      <c r="F5" s="21">
        <v>10</v>
      </c>
      <c r="G5" s="22">
        <f t="shared" ref="G5:G29" si="0">F5*E5</f>
        <v>4000</v>
      </c>
      <c r="I5" s="1"/>
    </row>
    <row r="6" spans="2:9" ht="17" x14ac:dyDescent="0.2">
      <c r="B6" s="18">
        <v>3</v>
      </c>
      <c r="C6" s="19" t="s">
        <v>13</v>
      </c>
      <c r="D6" s="16" t="s">
        <v>10</v>
      </c>
      <c r="E6" s="20">
        <v>20</v>
      </c>
      <c r="F6" s="21">
        <v>100</v>
      </c>
      <c r="G6" s="22">
        <f t="shared" si="0"/>
        <v>2000</v>
      </c>
      <c r="I6" s="1"/>
    </row>
    <row r="7" spans="2:9" ht="17" x14ac:dyDescent="0.2">
      <c r="B7" s="18">
        <v>4</v>
      </c>
      <c r="C7" s="19" t="s">
        <v>14</v>
      </c>
      <c r="D7" s="16" t="s">
        <v>10</v>
      </c>
      <c r="E7" s="20">
        <v>10</v>
      </c>
      <c r="F7" s="21">
        <v>100</v>
      </c>
      <c r="G7" s="22">
        <f t="shared" si="0"/>
        <v>1000</v>
      </c>
      <c r="I7" s="1"/>
    </row>
    <row r="8" spans="2:9" ht="17" x14ac:dyDescent="0.2">
      <c r="B8" s="18">
        <v>5</v>
      </c>
      <c r="C8" s="19" t="s">
        <v>15</v>
      </c>
      <c r="D8" s="16" t="s">
        <v>10</v>
      </c>
      <c r="E8" s="20">
        <v>50</v>
      </c>
      <c r="F8" s="21">
        <v>25</v>
      </c>
      <c r="G8" s="22">
        <f t="shared" si="0"/>
        <v>1250</v>
      </c>
      <c r="I8" s="1"/>
    </row>
    <row r="9" spans="2:9" ht="17" x14ac:dyDescent="0.2">
      <c r="B9" s="18">
        <v>6</v>
      </c>
      <c r="C9" s="19" t="s">
        <v>37</v>
      </c>
      <c r="D9" s="16" t="s">
        <v>16</v>
      </c>
      <c r="E9" s="20">
        <v>20</v>
      </c>
      <c r="F9" s="21">
        <v>180</v>
      </c>
      <c r="G9" s="22">
        <f t="shared" si="0"/>
        <v>3600</v>
      </c>
      <c r="I9" s="1"/>
    </row>
    <row r="10" spans="2:9" ht="17" x14ac:dyDescent="0.2">
      <c r="B10" s="18">
        <v>7</v>
      </c>
      <c r="C10" s="19" t="s">
        <v>38</v>
      </c>
      <c r="D10" s="16" t="s">
        <v>10</v>
      </c>
      <c r="E10" s="20">
        <v>100</v>
      </c>
      <c r="F10" s="21">
        <v>150</v>
      </c>
      <c r="G10" s="22">
        <f t="shared" si="0"/>
        <v>15000</v>
      </c>
      <c r="I10" s="1"/>
    </row>
    <row r="11" spans="2:9" ht="17" x14ac:dyDescent="0.2">
      <c r="B11" s="18">
        <v>8</v>
      </c>
      <c r="C11" s="19" t="s">
        <v>17</v>
      </c>
      <c r="D11" s="16" t="s">
        <v>12</v>
      </c>
      <c r="E11" s="20">
        <v>200</v>
      </c>
      <c r="F11" s="21">
        <v>25</v>
      </c>
      <c r="G11" s="22">
        <f t="shared" si="0"/>
        <v>5000</v>
      </c>
      <c r="I11" s="1"/>
    </row>
    <row r="12" spans="2:9" ht="17" x14ac:dyDescent="0.2">
      <c r="B12" s="18">
        <v>9</v>
      </c>
      <c r="C12" s="19" t="s">
        <v>18</v>
      </c>
      <c r="D12" s="16" t="s">
        <v>12</v>
      </c>
      <c r="E12" s="20">
        <v>400</v>
      </c>
      <c r="F12" s="21">
        <v>25</v>
      </c>
      <c r="G12" s="22">
        <f t="shared" si="0"/>
        <v>10000</v>
      </c>
      <c r="I12" s="1"/>
    </row>
    <row r="13" spans="2:9" ht="17" x14ac:dyDescent="0.2">
      <c r="B13" s="18">
        <v>10</v>
      </c>
      <c r="C13" s="19" t="s">
        <v>39</v>
      </c>
      <c r="D13" s="16" t="s">
        <v>12</v>
      </c>
      <c r="E13" s="20">
        <v>10000</v>
      </c>
      <c r="F13" s="21">
        <v>4</v>
      </c>
      <c r="G13" s="22">
        <f t="shared" si="0"/>
        <v>40000</v>
      </c>
      <c r="I13" s="1"/>
    </row>
    <row r="14" spans="2:9" ht="17" x14ac:dyDescent="0.2">
      <c r="B14" s="18">
        <v>11</v>
      </c>
      <c r="C14" s="19" t="s">
        <v>19</v>
      </c>
      <c r="D14" s="16" t="s">
        <v>10</v>
      </c>
      <c r="E14" s="20">
        <v>200</v>
      </c>
      <c r="F14" s="21">
        <v>50</v>
      </c>
      <c r="G14" s="22">
        <f t="shared" si="0"/>
        <v>10000</v>
      </c>
      <c r="I14" s="1"/>
    </row>
    <row r="15" spans="2:9" ht="17" x14ac:dyDescent="0.2">
      <c r="B15" s="18">
        <v>12</v>
      </c>
      <c r="C15" s="19" t="s">
        <v>40</v>
      </c>
      <c r="D15" s="16" t="s">
        <v>12</v>
      </c>
      <c r="E15" s="20">
        <v>5</v>
      </c>
      <c r="F15" s="23">
        <v>1200</v>
      </c>
      <c r="G15" s="22">
        <f t="shared" si="0"/>
        <v>6000</v>
      </c>
      <c r="I15" s="1"/>
    </row>
    <row r="16" spans="2:9" ht="17" x14ac:dyDescent="0.2">
      <c r="B16" s="18">
        <v>13</v>
      </c>
      <c r="C16" s="19" t="s">
        <v>20</v>
      </c>
      <c r="D16" s="16" t="s">
        <v>12</v>
      </c>
      <c r="E16" s="20">
        <v>200</v>
      </c>
      <c r="F16" s="21">
        <v>25</v>
      </c>
      <c r="G16" s="22">
        <f t="shared" si="0"/>
        <v>5000</v>
      </c>
      <c r="I16" s="1"/>
    </row>
    <row r="17" spans="2:9" ht="17" x14ac:dyDescent="0.2">
      <c r="B17" s="18">
        <v>14</v>
      </c>
      <c r="C17" s="19" t="s">
        <v>21</v>
      </c>
      <c r="D17" s="16" t="s">
        <v>12</v>
      </c>
      <c r="E17" s="20">
        <v>250</v>
      </c>
      <c r="F17" s="21">
        <v>25</v>
      </c>
      <c r="G17" s="22">
        <f t="shared" si="0"/>
        <v>6250</v>
      </c>
      <c r="I17" s="1"/>
    </row>
    <row r="18" spans="2:9" ht="17" x14ac:dyDescent="0.2">
      <c r="B18" s="18">
        <v>15</v>
      </c>
      <c r="C18" s="19" t="s">
        <v>22</v>
      </c>
      <c r="D18" s="16" t="s">
        <v>12</v>
      </c>
      <c r="E18" s="20">
        <v>500</v>
      </c>
      <c r="F18" s="21">
        <v>25</v>
      </c>
      <c r="G18" s="22">
        <f t="shared" si="0"/>
        <v>12500</v>
      </c>
      <c r="I18" s="1"/>
    </row>
    <row r="19" spans="2:9" ht="17" x14ac:dyDescent="0.2">
      <c r="B19" s="18">
        <v>16</v>
      </c>
      <c r="C19" s="19" t="s">
        <v>23</v>
      </c>
      <c r="D19" s="16" t="s">
        <v>24</v>
      </c>
      <c r="E19" s="20">
        <v>150</v>
      </c>
      <c r="F19" s="21"/>
      <c r="G19" s="22">
        <f t="shared" si="0"/>
        <v>0</v>
      </c>
      <c r="I19" s="1"/>
    </row>
    <row r="20" spans="2:9" ht="17" x14ac:dyDescent="0.2">
      <c r="B20" s="18">
        <v>17</v>
      </c>
      <c r="C20" s="19" t="s">
        <v>25</v>
      </c>
      <c r="D20" s="16" t="s">
        <v>10</v>
      </c>
      <c r="E20" s="20">
        <v>150</v>
      </c>
      <c r="F20" s="21">
        <v>20</v>
      </c>
      <c r="G20" s="22">
        <f t="shared" si="0"/>
        <v>3000</v>
      </c>
      <c r="I20" s="1"/>
    </row>
    <row r="21" spans="2:9" ht="17" x14ac:dyDescent="0.2">
      <c r="B21" s="18">
        <v>18</v>
      </c>
      <c r="C21" s="19" t="s">
        <v>26</v>
      </c>
      <c r="D21" s="16" t="s">
        <v>27</v>
      </c>
      <c r="E21" s="20">
        <v>10</v>
      </c>
      <c r="F21" s="21"/>
      <c r="G21" s="22">
        <f t="shared" si="0"/>
        <v>0</v>
      </c>
      <c r="I21" s="1"/>
    </row>
    <row r="22" spans="2:9" ht="17" x14ac:dyDescent="0.2">
      <c r="B22" s="18">
        <v>19</v>
      </c>
      <c r="C22" s="19" t="s">
        <v>28</v>
      </c>
      <c r="D22" s="16" t="s">
        <v>12</v>
      </c>
      <c r="E22" s="20">
        <v>25</v>
      </c>
      <c r="F22" s="21">
        <v>150</v>
      </c>
      <c r="G22" s="22">
        <f t="shared" si="0"/>
        <v>3750</v>
      </c>
      <c r="I22" s="1"/>
    </row>
    <row r="23" spans="2:9" ht="17" x14ac:dyDescent="0.2">
      <c r="B23" s="18">
        <v>20</v>
      </c>
      <c r="C23" s="19" t="s">
        <v>29</v>
      </c>
      <c r="D23" s="16" t="s">
        <v>12</v>
      </c>
      <c r="E23" s="20">
        <v>100</v>
      </c>
      <c r="F23" s="21"/>
      <c r="G23" s="22">
        <f t="shared" si="0"/>
        <v>0</v>
      </c>
      <c r="I23" s="1"/>
    </row>
    <row r="24" spans="2:9" ht="17" x14ac:dyDescent="0.2">
      <c r="B24" s="18">
        <v>21</v>
      </c>
      <c r="C24" s="19" t="s">
        <v>30</v>
      </c>
      <c r="D24" s="16" t="s">
        <v>10</v>
      </c>
      <c r="E24" s="20">
        <v>500</v>
      </c>
      <c r="F24" s="21">
        <v>30</v>
      </c>
      <c r="G24" s="22">
        <f t="shared" si="0"/>
        <v>15000</v>
      </c>
      <c r="I24" s="1"/>
    </row>
    <row r="25" spans="2:9" ht="17" x14ac:dyDescent="0.2">
      <c r="B25" s="18">
        <v>22</v>
      </c>
      <c r="C25" s="19" t="s">
        <v>31</v>
      </c>
      <c r="D25" s="16" t="s">
        <v>12</v>
      </c>
      <c r="E25" s="20">
        <v>5</v>
      </c>
      <c r="F25" s="21"/>
      <c r="G25" s="22">
        <f t="shared" si="0"/>
        <v>0</v>
      </c>
      <c r="I25" s="1"/>
    </row>
    <row r="26" spans="2:9" ht="17" x14ac:dyDescent="0.2">
      <c r="B26" s="18">
        <v>23</v>
      </c>
      <c r="C26" s="19" t="s">
        <v>32</v>
      </c>
      <c r="D26" s="16" t="s">
        <v>12</v>
      </c>
      <c r="E26" s="20">
        <v>5</v>
      </c>
      <c r="F26" s="21"/>
      <c r="G26" s="22">
        <f t="shared" si="0"/>
        <v>0</v>
      </c>
      <c r="I26" s="1"/>
    </row>
    <row r="27" spans="2:9" ht="17" x14ac:dyDescent="0.2">
      <c r="B27" s="18">
        <v>24</v>
      </c>
      <c r="C27" s="19" t="s">
        <v>33</v>
      </c>
      <c r="D27" s="16" t="s">
        <v>12</v>
      </c>
      <c r="E27" s="20">
        <v>200</v>
      </c>
      <c r="F27" s="21">
        <v>70</v>
      </c>
      <c r="G27" s="22">
        <f t="shared" si="0"/>
        <v>14000</v>
      </c>
      <c r="I27" s="1"/>
    </row>
    <row r="28" spans="2:9" ht="17" x14ac:dyDescent="0.2">
      <c r="B28" s="18">
        <v>25</v>
      </c>
      <c r="C28" s="19" t="s">
        <v>34</v>
      </c>
      <c r="D28" s="16" t="s">
        <v>35</v>
      </c>
      <c r="E28" s="20">
        <v>10</v>
      </c>
      <c r="F28" s="21">
        <v>180</v>
      </c>
      <c r="G28" s="22">
        <f t="shared" si="0"/>
        <v>1800</v>
      </c>
      <c r="I28" s="1"/>
    </row>
    <row r="29" spans="2:9" ht="17" x14ac:dyDescent="0.2">
      <c r="B29" s="18">
        <v>26</v>
      </c>
      <c r="C29" s="19" t="s">
        <v>36</v>
      </c>
      <c r="D29" s="16" t="s">
        <v>35</v>
      </c>
      <c r="E29" s="20">
        <v>3</v>
      </c>
      <c r="F29" s="21">
        <v>15000</v>
      </c>
      <c r="G29" s="22">
        <f t="shared" si="0"/>
        <v>45000</v>
      </c>
      <c r="I29" s="1"/>
    </row>
    <row r="30" spans="2:9" ht="17" x14ac:dyDescent="0.2">
      <c r="B30" s="9"/>
      <c r="C30" s="5"/>
      <c r="D30" s="13"/>
      <c r="E30" s="28" t="s">
        <v>7</v>
      </c>
      <c r="F30" s="28"/>
      <c r="G30" s="6">
        <f>SUM(G4:G29)</f>
        <v>209750</v>
      </c>
      <c r="I30" s="1"/>
    </row>
    <row r="31" spans="2:9" x14ac:dyDescent="0.2">
      <c r="I31" s="1"/>
    </row>
    <row r="32" spans="2:9" x14ac:dyDescent="0.2">
      <c r="F32" t="s">
        <v>5</v>
      </c>
      <c r="I32" s="1"/>
    </row>
    <row r="33" spans="3:9" x14ac:dyDescent="0.2">
      <c r="I33" s="1"/>
    </row>
    <row r="34" spans="3:9" x14ac:dyDescent="0.2">
      <c r="C34" s="2"/>
      <c r="D34" s="14"/>
      <c r="E34" s="4"/>
      <c r="I34" s="1"/>
    </row>
    <row r="35" spans="3:9" x14ac:dyDescent="0.2">
      <c r="I35" s="1"/>
    </row>
    <row r="36" spans="3:9" x14ac:dyDescent="0.2">
      <c r="C36" s="3"/>
      <c r="D36" s="15"/>
      <c r="E36" s="4"/>
      <c r="I36" s="1"/>
    </row>
    <row r="37" spans="3:9" x14ac:dyDescent="0.2">
      <c r="I37" s="1"/>
    </row>
    <row r="50" ht="33" customHeight="1" x14ac:dyDescent="0.2"/>
  </sheetData>
  <mergeCells count="2">
    <mergeCell ref="E30:F30"/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5CD5-CDB8-3A40-8AEA-1143B54F7F99}">
  <dimension ref="B1:J45"/>
  <sheetViews>
    <sheetView tabSelected="1" zoomScale="122" zoomScaleNormal="122" workbookViewId="0">
      <selection activeCell="E18" sqref="E18"/>
    </sheetView>
  </sheetViews>
  <sheetFormatPr baseColWidth="10" defaultColWidth="8.83203125" defaultRowHeight="15" x14ac:dyDescent="0.2"/>
  <cols>
    <col min="1" max="1" width="6.33203125" customWidth="1"/>
    <col min="2" max="2" width="6" style="1" customWidth="1"/>
    <col min="3" max="3" width="44.33203125" bestFit="1" customWidth="1"/>
    <col min="4" max="4" width="12.5" style="1" customWidth="1"/>
    <col min="5" max="5" width="12.6640625" style="1" bestFit="1" customWidth="1"/>
    <col min="6" max="6" width="13.5" customWidth="1"/>
    <col min="7" max="7" width="15" bestFit="1" customWidth="1"/>
    <col min="8" max="8" width="6" customWidth="1"/>
    <col min="9" max="9" width="13.83203125" customWidth="1"/>
    <col min="10" max="10" width="12.1640625" customWidth="1"/>
  </cols>
  <sheetData>
    <row r="1" spans="2:10" ht="22.5" customHeight="1" x14ac:dyDescent="0.2"/>
    <row r="2" spans="2:10" ht="36" x14ac:dyDescent="0.2">
      <c r="B2" s="7" t="s">
        <v>3</v>
      </c>
      <c r="C2" s="7" t="s">
        <v>0</v>
      </c>
      <c r="D2" s="8" t="s">
        <v>6</v>
      </c>
      <c r="E2" s="7" t="s">
        <v>1</v>
      </c>
      <c r="F2" s="8" t="s">
        <v>4</v>
      </c>
      <c r="G2" s="8" t="s">
        <v>2</v>
      </c>
      <c r="I2" s="25" t="s">
        <v>41</v>
      </c>
      <c r="J2" s="25" t="s">
        <v>42</v>
      </c>
    </row>
    <row r="3" spans="2:10" ht="17" x14ac:dyDescent="0.2">
      <c r="B3" s="10"/>
      <c r="C3" s="24" t="s">
        <v>8</v>
      </c>
      <c r="D3" s="24"/>
      <c r="E3" s="17"/>
      <c r="F3" s="11"/>
      <c r="G3" s="12"/>
    </row>
    <row r="4" spans="2:10" ht="17" x14ac:dyDescent="0.2">
      <c r="B4" s="18">
        <v>1</v>
      </c>
      <c r="C4" s="19" t="s">
        <v>9</v>
      </c>
      <c r="D4" s="16" t="s">
        <v>10</v>
      </c>
      <c r="E4" s="20">
        <v>200</v>
      </c>
      <c r="F4" s="21">
        <v>28</v>
      </c>
      <c r="G4" s="22">
        <f>F4*E4</f>
        <v>5600</v>
      </c>
      <c r="I4" s="17">
        <f>(5%*F4)+F4</f>
        <v>29.4</v>
      </c>
      <c r="J4" s="26">
        <f>I4*E4</f>
        <v>5880</v>
      </c>
    </row>
    <row r="5" spans="2:10" ht="17" x14ac:dyDescent="0.2">
      <c r="B5" s="18">
        <v>2</v>
      </c>
      <c r="C5" s="19" t="s">
        <v>11</v>
      </c>
      <c r="D5" s="16" t="s">
        <v>12</v>
      </c>
      <c r="E5" s="20">
        <v>400</v>
      </c>
      <c r="F5" s="21">
        <v>10</v>
      </c>
      <c r="G5" s="22">
        <f t="shared" ref="G5:G24" si="0">F5*E5</f>
        <v>4000</v>
      </c>
      <c r="I5" s="17">
        <f t="shared" ref="I5:I24" si="1">(5%*F5)+F5</f>
        <v>10.5</v>
      </c>
      <c r="J5" s="26">
        <f t="shared" ref="J5:J24" si="2">I5*E5</f>
        <v>4200</v>
      </c>
    </row>
    <row r="6" spans="2:10" ht="17" x14ac:dyDescent="0.2">
      <c r="B6" s="18">
        <v>3</v>
      </c>
      <c r="C6" s="19" t="s">
        <v>13</v>
      </c>
      <c r="D6" s="16" t="s">
        <v>10</v>
      </c>
      <c r="E6" s="20">
        <v>20</v>
      </c>
      <c r="F6" s="21">
        <v>100</v>
      </c>
      <c r="G6" s="22">
        <f t="shared" si="0"/>
        <v>2000</v>
      </c>
      <c r="I6" s="17">
        <f t="shared" si="1"/>
        <v>105</v>
      </c>
      <c r="J6" s="26">
        <f t="shared" si="2"/>
        <v>2100</v>
      </c>
    </row>
    <row r="7" spans="2:10" ht="17" x14ac:dyDescent="0.2">
      <c r="B7" s="18">
        <v>4</v>
      </c>
      <c r="C7" s="19" t="s">
        <v>14</v>
      </c>
      <c r="D7" s="16" t="s">
        <v>10</v>
      </c>
      <c r="E7" s="20">
        <v>10</v>
      </c>
      <c r="F7" s="21">
        <v>100</v>
      </c>
      <c r="G7" s="22">
        <f t="shared" si="0"/>
        <v>1000</v>
      </c>
      <c r="I7" s="17">
        <f t="shared" si="1"/>
        <v>105</v>
      </c>
      <c r="J7" s="26">
        <f t="shared" si="2"/>
        <v>1050</v>
      </c>
    </row>
    <row r="8" spans="2:10" ht="17" x14ac:dyDescent="0.2">
      <c r="B8" s="18">
        <v>5</v>
      </c>
      <c r="C8" s="19" t="s">
        <v>15</v>
      </c>
      <c r="D8" s="16" t="s">
        <v>10</v>
      </c>
      <c r="E8" s="20">
        <v>50</v>
      </c>
      <c r="F8" s="21">
        <v>25</v>
      </c>
      <c r="G8" s="22">
        <f t="shared" si="0"/>
        <v>1250</v>
      </c>
      <c r="I8" s="17">
        <f t="shared" si="1"/>
        <v>26.25</v>
      </c>
      <c r="J8" s="26">
        <f t="shared" si="2"/>
        <v>1312.5</v>
      </c>
    </row>
    <row r="9" spans="2:10" ht="17" x14ac:dyDescent="0.2">
      <c r="B9" s="18">
        <v>6</v>
      </c>
      <c r="C9" s="19" t="s">
        <v>37</v>
      </c>
      <c r="D9" s="16" t="s">
        <v>16</v>
      </c>
      <c r="E9" s="20">
        <v>20</v>
      </c>
      <c r="F9" s="21">
        <v>180</v>
      </c>
      <c r="G9" s="22">
        <f t="shared" si="0"/>
        <v>3600</v>
      </c>
      <c r="I9" s="17">
        <f t="shared" si="1"/>
        <v>189</v>
      </c>
      <c r="J9" s="26">
        <f t="shared" si="2"/>
        <v>3780</v>
      </c>
    </row>
    <row r="10" spans="2:10" ht="17" x14ac:dyDescent="0.2">
      <c r="B10" s="18">
        <v>7</v>
      </c>
      <c r="C10" s="19" t="s">
        <v>38</v>
      </c>
      <c r="D10" s="16" t="s">
        <v>10</v>
      </c>
      <c r="E10" s="20">
        <v>100</v>
      </c>
      <c r="F10" s="21">
        <v>150</v>
      </c>
      <c r="G10" s="22">
        <f t="shared" si="0"/>
        <v>15000</v>
      </c>
      <c r="I10" s="17">
        <f t="shared" si="1"/>
        <v>157.5</v>
      </c>
      <c r="J10" s="26">
        <f t="shared" si="2"/>
        <v>15750</v>
      </c>
    </row>
    <row r="11" spans="2:10" ht="17" x14ac:dyDescent="0.2">
      <c r="B11" s="18">
        <v>8</v>
      </c>
      <c r="C11" s="19" t="s">
        <v>17</v>
      </c>
      <c r="D11" s="16" t="s">
        <v>12</v>
      </c>
      <c r="E11" s="20">
        <v>200</v>
      </c>
      <c r="F11" s="21">
        <v>25</v>
      </c>
      <c r="G11" s="22">
        <f t="shared" si="0"/>
        <v>5000</v>
      </c>
      <c r="I11" s="17">
        <f t="shared" si="1"/>
        <v>26.25</v>
      </c>
      <c r="J11" s="26">
        <f t="shared" si="2"/>
        <v>5250</v>
      </c>
    </row>
    <row r="12" spans="2:10" ht="17" x14ac:dyDescent="0.2">
      <c r="B12" s="18">
        <v>9</v>
      </c>
      <c r="C12" s="19" t="s">
        <v>18</v>
      </c>
      <c r="D12" s="16" t="s">
        <v>12</v>
      </c>
      <c r="E12" s="20">
        <v>400</v>
      </c>
      <c r="F12" s="21">
        <v>25</v>
      </c>
      <c r="G12" s="22">
        <f t="shared" si="0"/>
        <v>10000</v>
      </c>
      <c r="I12" s="17">
        <f t="shared" si="1"/>
        <v>26.25</v>
      </c>
      <c r="J12" s="26">
        <f t="shared" si="2"/>
        <v>10500</v>
      </c>
    </row>
    <row r="13" spans="2:10" ht="17" x14ac:dyDescent="0.2">
      <c r="B13" s="18">
        <v>10</v>
      </c>
      <c r="C13" s="19" t="s">
        <v>39</v>
      </c>
      <c r="D13" s="16" t="s">
        <v>12</v>
      </c>
      <c r="E13" s="20">
        <v>10000</v>
      </c>
      <c r="F13" s="21">
        <v>4</v>
      </c>
      <c r="G13" s="22">
        <f t="shared" si="0"/>
        <v>40000</v>
      </c>
      <c r="I13" s="17">
        <f t="shared" si="1"/>
        <v>4.2</v>
      </c>
      <c r="J13" s="26">
        <f t="shared" si="2"/>
        <v>42000</v>
      </c>
    </row>
    <row r="14" spans="2:10" ht="17" x14ac:dyDescent="0.2">
      <c r="B14" s="18">
        <v>11</v>
      </c>
      <c r="C14" s="19" t="s">
        <v>19</v>
      </c>
      <c r="D14" s="16" t="s">
        <v>10</v>
      </c>
      <c r="E14" s="20">
        <v>200</v>
      </c>
      <c r="F14" s="21">
        <v>50</v>
      </c>
      <c r="G14" s="22">
        <f t="shared" si="0"/>
        <v>10000</v>
      </c>
      <c r="I14" s="17">
        <f t="shared" si="1"/>
        <v>52.5</v>
      </c>
      <c r="J14" s="26">
        <f t="shared" si="2"/>
        <v>10500</v>
      </c>
    </row>
    <row r="15" spans="2:10" ht="17" x14ac:dyDescent="0.2">
      <c r="B15" s="18">
        <v>12</v>
      </c>
      <c r="C15" s="19" t="s">
        <v>40</v>
      </c>
      <c r="D15" s="16" t="s">
        <v>12</v>
      </c>
      <c r="E15" s="20">
        <v>5</v>
      </c>
      <c r="F15" s="23">
        <v>1200</v>
      </c>
      <c r="G15" s="22">
        <f t="shared" si="0"/>
        <v>6000</v>
      </c>
      <c r="I15" s="17">
        <f t="shared" si="1"/>
        <v>1260</v>
      </c>
      <c r="J15" s="26">
        <f t="shared" si="2"/>
        <v>6300</v>
      </c>
    </row>
    <row r="16" spans="2:10" ht="17" x14ac:dyDescent="0.2">
      <c r="B16" s="18">
        <v>13</v>
      </c>
      <c r="C16" s="19" t="s">
        <v>20</v>
      </c>
      <c r="D16" s="16" t="s">
        <v>12</v>
      </c>
      <c r="E16" s="20">
        <v>200</v>
      </c>
      <c r="F16" s="21">
        <v>25</v>
      </c>
      <c r="G16" s="22">
        <f t="shared" si="0"/>
        <v>5000</v>
      </c>
      <c r="I16" s="17">
        <f t="shared" si="1"/>
        <v>26.25</v>
      </c>
      <c r="J16" s="26">
        <f t="shared" si="2"/>
        <v>5250</v>
      </c>
    </row>
    <row r="17" spans="2:10" ht="17" x14ac:dyDescent="0.2">
      <c r="B17" s="18">
        <v>14</v>
      </c>
      <c r="C17" s="19" t="s">
        <v>21</v>
      </c>
      <c r="D17" s="16" t="s">
        <v>12</v>
      </c>
      <c r="E17" s="20">
        <v>250</v>
      </c>
      <c r="F17" s="21">
        <v>25</v>
      </c>
      <c r="G17" s="22">
        <f t="shared" si="0"/>
        <v>6250</v>
      </c>
      <c r="I17" s="17">
        <f t="shared" si="1"/>
        <v>26.25</v>
      </c>
      <c r="J17" s="26">
        <f t="shared" si="2"/>
        <v>6562.5</v>
      </c>
    </row>
    <row r="18" spans="2:10" ht="17" x14ac:dyDescent="0.2">
      <c r="B18" s="18">
        <v>15</v>
      </c>
      <c r="C18" s="19" t="s">
        <v>22</v>
      </c>
      <c r="D18" s="16" t="s">
        <v>12</v>
      </c>
      <c r="E18" s="20">
        <v>500</v>
      </c>
      <c r="F18" s="21">
        <v>25</v>
      </c>
      <c r="G18" s="22">
        <f t="shared" si="0"/>
        <v>12500</v>
      </c>
      <c r="I18" s="17">
        <f t="shared" si="1"/>
        <v>26.25</v>
      </c>
      <c r="J18" s="26">
        <f t="shared" si="2"/>
        <v>13125</v>
      </c>
    </row>
    <row r="19" spans="2:10" ht="17" x14ac:dyDescent="0.2">
      <c r="B19" s="18">
        <v>16</v>
      </c>
      <c r="C19" s="19" t="s">
        <v>25</v>
      </c>
      <c r="D19" s="16" t="s">
        <v>10</v>
      </c>
      <c r="E19" s="20">
        <v>150</v>
      </c>
      <c r="F19" s="21">
        <v>20</v>
      </c>
      <c r="G19" s="22">
        <f t="shared" si="0"/>
        <v>3000</v>
      </c>
      <c r="I19" s="17">
        <f t="shared" si="1"/>
        <v>21</v>
      </c>
      <c r="J19" s="26">
        <f t="shared" si="2"/>
        <v>3150</v>
      </c>
    </row>
    <row r="20" spans="2:10" ht="17" x14ac:dyDescent="0.2">
      <c r="B20" s="18">
        <v>17</v>
      </c>
      <c r="C20" s="19" t="s">
        <v>28</v>
      </c>
      <c r="D20" s="16" t="s">
        <v>12</v>
      </c>
      <c r="E20" s="20">
        <v>25</v>
      </c>
      <c r="F20" s="21">
        <v>150</v>
      </c>
      <c r="G20" s="22">
        <f t="shared" si="0"/>
        <v>3750</v>
      </c>
      <c r="I20" s="17">
        <f t="shared" si="1"/>
        <v>157.5</v>
      </c>
      <c r="J20" s="26">
        <f t="shared" si="2"/>
        <v>3937.5</v>
      </c>
    </row>
    <row r="21" spans="2:10" ht="17" x14ac:dyDescent="0.2">
      <c r="B21" s="18">
        <v>18</v>
      </c>
      <c r="C21" s="19" t="s">
        <v>30</v>
      </c>
      <c r="D21" s="16" t="s">
        <v>10</v>
      </c>
      <c r="E21" s="20">
        <v>500</v>
      </c>
      <c r="F21" s="21">
        <v>30</v>
      </c>
      <c r="G21" s="22">
        <f t="shared" si="0"/>
        <v>15000</v>
      </c>
      <c r="I21" s="17">
        <f t="shared" si="1"/>
        <v>31.5</v>
      </c>
      <c r="J21" s="26">
        <f t="shared" si="2"/>
        <v>15750</v>
      </c>
    </row>
    <row r="22" spans="2:10" ht="17" x14ac:dyDescent="0.2">
      <c r="B22" s="18">
        <v>19</v>
      </c>
      <c r="C22" s="19" t="s">
        <v>33</v>
      </c>
      <c r="D22" s="16" t="s">
        <v>12</v>
      </c>
      <c r="E22" s="20">
        <v>200</v>
      </c>
      <c r="F22" s="21">
        <v>70</v>
      </c>
      <c r="G22" s="22">
        <f t="shared" si="0"/>
        <v>14000</v>
      </c>
      <c r="I22" s="17">
        <f t="shared" si="1"/>
        <v>73.5</v>
      </c>
      <c r="J22" s="26">
        <f t="shared" si="2"/>
        <v>14700</v>
      </c>
    </row>
    <row r="23" spans="2:10" ht="17" x14ac:dyDescent="0.2">
      <c r="B23" s="18">
        <v>20</v>
      </c>
      <c r="C23" s="19" t="s">
        <v>34</v>
      </c>
      <c r="D23" s="16" t="s">
        <v>35</v>
      </c>
      <c r="E23" s="20">
        <v>10</v>
      </c>
      <c r="F23" s="21">
        <v>180</v>
      </c>
      <c r="G23" s="22">
        <f t="shared" si="0"/>
        <v>1800</v>
      </c>
      <c r="I23" s="17">
        <f t="shared" si="1"/>
        <v>189</v>
      </c>
      <c r="J23" s="26">
        <f t="shared" si="2"/>
        <v>1890</v>
      </c>
    </row>
    <row r="24" spans="2:10" ht="17" x14ac:dyDescent="0.2">
      <c r="B24" s="18">
        <v>21</v>
      </c>
      <c r="C24" s="19" t="s">
        <v>36</v>
      </c>
      <c r="D24" s="16" t="s">
        <v>35</v>
      </c>
      <c r="E24" s="20">
        <v>3</v>
      </c>
      <c r="F24" s="21">
        <v>15000</v>
      </c>
      <c r="G24" s="22">
        <f t="shared" si="0"/>
        <v>45000</v>
      </c>
      <c r="I24" s="17">
        <f t="shared" si="1"/>
        <v>15750</v>
      </c>
      <c r="J24" s="26">
        <f t="shared" si="2"/>
        <v>47250</v>
      </c>
    </row>
    <row r="25" spans="2:10" ht="17" x14ac:dyDescent="0.2">
      <c r="B25" s="9"/>
      <c r="C25" s="5"/>
      <c r="D25" s="13"/>
      <c r="E25" s="28" t="s">
        <v>7</v>
      </c>
      <c r="F25" s="28"/>
      <c r="G25" s="6">
        <f>SUM(G4:G24)</f>
        <v>209750</v>
      </c>
      <c r="I25" s="20"/>
      <c r="J25" s="27">
        <f>SUM(J4:J24)</f>
        <v>220237.5</v>
      </c>
    </row>
    <row r="26" spans="2:10" x14ac:dyDescent="0.2">
      <c r="I26" s="1"/>
    </row>
    <row r="27" spans="2:10" x14ac:dyDescent="0.2">
      <c r="F27" t="s">
        <v>5</v>
      </c>
      <c r="I27" s="1"/>
    </row>
    <row r="28" spans="2:10" x14ac:dyDescent="0.2">
      <c r="I28" s="1"/>
    </row>
    <row r="29" spans="2:10" x14ac:dyDescent="0.2">
      <c r="C29" s="2"/>
      <c r="D29" s="14"/>
      <c r="E29" s="4"/>
      <c r="I29" s="1"/>
    </row>
    <row r="30" spans="2:10" x14ac:dyDescent="0.2">
      <c r="I30" s="1"/>
    </row>
    <row r="31" spans="2:10" x14ac:dyDescent="0.2">
      <c r="C31" s="3"/>
      <c r="D31" s="15"/>
      <c r="E31" s="4"/>
      <c r="I31" s="1"/>
    </row>
    <row r="32" spans="2:10" x14ac:dyDescent="0.2">
      <c r="I32" s="1"/>
    </row>
    <row r="45" spans="3:9" s="1" customFormat="1" ht="33" customHeight="1" x14ac:dyDescent="0.2">
      <c r="C45"/>
      <c r="F45"/>
      <c r="G45"/>
      <c r="H45"/>
      <c r="I45"/>
    </row>
  </sheetData>
  <mergeCells count="1">
    <mergeCell ref="E25:F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 1</vt:lpstr>
      <vt:lpstr>Book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</dc:creator>
  <cp:lastModifiedBy>Beautiful Creations</cp:lastModifiedBy>
  <dcterms:created xsi:type="dcterms:W3CDTF">2019-03-15T10:37:22Z</dcterms:created>
  <dcterms:modified xsi:type="dcterms:W3CDTF">2026-04-29T15:54:09Z</dcterms:modified>
</cp:coreProperties>
</file>