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utifulcreations/Desktop/I.T DEPARTMENT/QUOTATIONS AND PROFORMAS/QUOTATIONS/BC PHARMACEUTICALS/2026/supply, delivery of Non-medicines consumables/"/>
    </mc:Choice>
  </mc:AlternateContent>
  <xr:revisionPtr revIDLastSave="0" documentId="13_ncr:1_{4767812B-518F-6548-959A-D0A292D732C2}" xr6:coauthVersionLast="47" xr6:coauthVersionMax="47" xr10:uidLastSave="{00000000-0000-0000-0000-000000000000}"/>
  <bookViews>
    <workbookView xWindow="6840" yWindow="2720" windowWidth="24500" windowHeight="16380" activeTab="1" xr2:uid="{DF8ABC1B-F8F1-064B-B066-EE2A0D13B645}"/>
  </bookViews>
  <sheets>
    <sheet name="Sheet2" sheetId="2" r:id="rId1"/>
    <sheet name="Sheet2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3" l="1"/>
  <c r="G5" i="3"/>
  <c r="G6" i="3"/>
  <c r="G7" i="3"/>
  <c r="G8" i="3"/>
  <c r="G9" i="3"/>
  <c r="G75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4" i="3"/>
  <c r="I69" i="3"/>
  <c r="I61" i="3"/>
  <c r="I68" i="2"/>
  <c r="I76" i="2"/>
  <c r="G76" i="3" l="1"/>
  <c r="G77" i="3" s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4" i="2"/>
  <c r="G82" i="2" l="1"/>
  <c r="G83" i="2" s="1"/>
  <c r="G84" i="2" s="1"/>
</calcChain>
</file>

<file path=xl/sharedStrings.xml><?xml version="1.0" encoding="utf-8"?>
<sst xmlns="http://schemas.openxmlformats.org/spreadsheetml/2006/main" count="388" uniqueCount="173">
  <si>
    <t>ITEMS</t>
  </si>
  <si>
    <t>QTY</t>
  </si>
  <si>
    <t>UNIT PX</t>
  </si>
  <si>
    <t>TOTAL PX</t>
  </si>
  <si>
    <t>GRAND TOTAL</t>
  </si>
  <si>
    <t>20% VAT</t>
  </si>
  <si>
    <t>1.  </t>
  </si>
  <si>
    <t>Examination Gloves(Small)</t>
  </si>
  <si>
    <t>PCS</t>
  </si>
  <si>
    <t>2.  </t>
  </si>
  <si>
    <t>Examination Gloves(Medium)</t>
  </si>
  <si>
    <t>3.  </t>
  </si>
  <si>
    <t>Examination Gloves(Large)</t>
  </si>
  <si>
    <t>4.  </t>
  </si>
  <si>
    <t>Syringes &amp; Needles 2mls</t>
  </si>
  <si>
    <t>5.  </t>
  </si>
  <si>
    <t>Syringes &amp; Needles 5mls</t>
  </si>
  <si>
    <t>6.  </t>
  </si>
  <si>
    <t>Syringes &amp; Needles 10mIs</t>
  </si>
  <si>
    <t>7.  </t>
  </si>
  <si>
    <t>Gauze Roll 100yards</t>
  </si>
  <si>
    <t>Rolls</t>
  </si>
  <si>
    <t>8.  </t>
  </si>
  <si>
    <t>Silicon Catheter S.6</t>
  </si>
  <si>
    <t>9.  </t>
  </si>
  <si>
    <t>Silicon Catheter S.16</t>
  </si>
  <si>
    <t>10.  </t>
  </si>
  <si>
    <t>Silicon Catheter S: 18</t>
  </si>
  <si>
    <t>Pcs</t>
  </si>
  <si>
    <t>11.  </t>
  </si>
  <si>
    <t>Surgical Gloves S.7</t>
  </si>
  <si>
    <t>Pairs</t>
  </si>
  <si>
    <t>12.  </t>
  </si>
  <si>
    <t>Surgical Gloves S 7.5</t>
  </si>
  <si>
    <t>13.  </t>
  </si>
  <si>
    <t>Surgical Gloves S 8</t>
  </si>
  <si>
    <t>14.  </t>
  </si>
  <si>
    <t>N G/Ryle Tubes S.8</t>
  </si>
  <si>
    <t>15.  </t>
  </si>
  <si>
    <t>N G/Ryle Tubes S.10</t>
  </si>
  <si>
    <t>16.  </t>
  </si>
  <si>
    <t>N G/Ryle Tubes S.16</t>
  </si>
  <si>
    <t>17.  </t>
  </si>
  <si>
    <t>N G/Ryle Tubes S.18</t>
  </si>
  <si>
    <t>18.  </t>
  </si>
  <si>
    <t>Nasal Cannula (adult)</t>
  </si>
  <si>
    <t>19.  </t>
  </si>
  <si>
    <t>Feeding Tube S.6</t>
  </si>
  <si>
    <t>20.  </t>
  </si>
  <si>
    <t>Face Mask</t>
  </si>
  <si>
    <t>21.  </t>
  </si>
  <si>
    <t>Suction Catheter s. 6</t>
  </si>
  <si>
    <t>22.  </t>
  </si>
  <si>
    <t>Suction Catheter s. 8</t>
  </si>
  <si>
    <t>23.  </t>
  </si>
  <si>
    <t>Suction Catheter s. 10</t>
  </si>
  <si>
    <t>24.  </t>
  </si>
  <si>
    <t>Suction Catheter s. 12</t>
  </si>
  <si>
    <t>25.  </t>
  </si>
  <si>
    <t>Surgical Blade S. 22</t>
  </si>
  <si>
    <t>26.  </t>
  </si>
  <si>
    <t>Surgical Blade S.23</t>
  </si>
  <si>
    <t>27.  </t>
  </si>
  <si>
    <t>Surgical Blade S.24</t>
  </si>
  <si>
    <t>28.  </t>
  </si>
  <si>
    <t>I.V Flow Regulator (Doxy Flow)</t>
  </si>
  <si>
    <t>29.  </t>
  </si>
  <si>
    <t>Plaster 6''(15cm)</t>
  </si>
  <si>
    <t>ROLLS</t>
  </si>
  <si>
    <t>30.  </t>
  </si>
  <si>
    <t>IV Cannula S.18</t>
  </si>
  <si>
    <t>31.  </t>
  </si>
  <si>
    <t>IV Cannula S.20</t>
  </si>
  <si>
    <t>32.  </t>
  </si>
  <si>
    <t>IV Cannula S.22</t>
  </si>
  <si>
    <t>33.  </t>
  </si>
  <si>
    <t>IV cannula S. 24</t>
  </si>
  <si>
    <t>34.  </t>
  </si>
  <si>
    <t>IV Cannula S. 26</t>
  </si>
  <si>
    <t>35.  </t>
  </si>
  <si>
    <t>Surgical Blades S. 11</t>
  </si>
  <si>
    <t>Pks</t>
  </si>
  <si>
    <t>36.  </t>
  </si>
  <si>
    <t>Vicryl 4/0 RB</t>
  </si>
  <si>
    <t>37.  </t>
  </si>
  <si>
    <t>Vicryl 3/0 Cutting</t>
  </si>
  <si>
    <t>38.  </t>
  </si>
  <si>
    <t>Vicryl 2 Round Body</t>
  </si>
  <si>
    <t>pks</t>
  </si>
  <si>
    <t>39.  </t>
  </si>
  <si>
    <t>Syringes &amp; Needles 20mIs</t>
  </si>
  <si>
    <t>40.  </t>
  </si>
  <si>
    <t>Syringes &amp; Needles 50mIs</t>
  </si>
  <si>
    <t>41.  </t>
  </si>
  <si>
    <t>Feeding Tubes S.5</t>
  </si>
  <si>
    <t xml:space="preserve">Pcs </t>
  </si>
  <si>
    <t>42.  </t>
  </si>
  <si>
    <t>Feeding Tubes S.6</t>
  </si>
  <si>
    <t>43.  </t>
  </si>
  <si>
    <t>Suction Catheter S.14</t>
  </si>
  <si>
    <t>44.  </t>
  </si>
  <si>
    <t>Suction Catheter S.16</t>
  </si>
  <si>
    <t>45.  </t>
  </si>
  <si>
    <t>Suction Catheter S.18</t>
  </si>
  <si>
    <t>46.  </t>
  </si>
  <si>
    <t>Shoe Covers</t>
  </si>
  <si>
    <t>47.  </t>
  </si>
  <si>
    <t>Head Cover/Hair Net</t>
  </si>
  <si>
    <t>48.  </t>
  </si>
  <si>
    <t>Theatre Scrubs</t>
  </si>
  <si>
    <t>49.  </t>
  </si>
  <si>
    <t>Oxygen Flowmeter</t>
  </si>
  <si>
    <t>50.  </t>
  </si>
  <si>
    <t>Perfusor Line</t>
  </si>
  <si>
    <t>51.  </t>
  </si>
  <si>
    <t>Perfusor Syringes</t>
  </si>
  <si>
    <t>52.  </t>
  </si>
  <si>
    <t>Non-Rebreather Masks (Paediatric)</t>
  </si>
  <si>
    <t>53.  </t>
  </si>
  <si>
    <t>Intra-Osseous Needles (Paediatric)</t>
  </si>
  <si>
    <t>54.  </t>
  </si>
  <si>
    <t>3 Way Catheter (Paediatric)</t>
  </si>
  <si>
    <t>55.  </t>
  </si>
  <si>
    <t>Bag Mask Ventilator (Paediatric)</t>
  </si>
  <si>
    <t>56.  </t>
  </si>
  <si>
    <t xml:space="preserve">Blood Bags Double </t>
  </si>
  <si>
    <t>57.  </t>
  </si>
  <si>
    <t>Folley Catheter S: 8</t>
  </si>
  <si>
    <t>58.  </t>
  </si>
  <si>
    <t>Folley Catheter S: 10</t>
  </si>
  <si>
    <t>59.  </t>
  </si>
  <si>
    <t>Folley Catheter S: 12</t>
  </si>
  <si>
    <t>60.  </t>
  </si>
  <si>
    <t>Non-Rebreather Mask Infant</t>
  </si>
  <si>
    <t>61.  </t>
  </si>
  <si>
    <t>Non-Rebreather Mask Child</t>
  </si>
  <si>
    <t>62.  </t>
  </si>
  <si>
    <t>Multi Mask Child</t>
  </si>
  <si>
    <t>63.  </t>
  </si>
  <si>
    <t>Blood Bags Triple</t>
  </si>
  <si>
    <t>64.  </t>
  </si>
  <si>
    <t xml:space="preserve">Minor Set for Orthopaedic Surgeons </t>
  </si>
  <si>
    <t>65.  </t>
  </si>
  <si>
    <t>Disposable Diathermy Pads</t>
  </si>
  <si>
    <t>66.  </t>
  </si>
  <si>
    <t>Free Needles</t>
  </si>
  <si>
    <t>67.  </t>
  </si>
  <si>
    <t>KY Gel</t>
  </si>
  <si>
    <t>Tubes</t>
  </si>
  <si>
    <t>68.  </t>
  </si>
  <si>
    <t xml:space="preserve">Ambu Bags Child  </t>
  </si>
  <si>
    <t>69.  </t>
  </si>
  <si>
    <t xml:space="preserve">Ambu Bags Adult </t>
  </si>
  <si>
    <t>70.  </t>
  </si>
  <si>
    <t xml:space="preserve">Ambu Bags Infant </t>
  </si>
  <si>
    <t>71.  </t>
  </si>
  <si>
    <t>Ambu Bags Neonate</t>
  </si>
  <si>
    <t>72.  </t>
  </si>
  <si>
    <t>Diathermy Pencils</t>
  </si>
  <si>
    <t>73.  </t>
  </si>
  <si>
    <t>Giggle Saw</t>
  </si>
  <si>
    <t>74.  </t>
  </si>
  <si>
    <t>Nylon 0 RB</t>
  </si>
  <si>
    <t>75.  </t>
  </si>
  <si>
    <t>Nylon 1 RB</t>
  </si>
  <si>
    <t>76.  </t>
  </si>
  <si>
    <t>Nylon 1 Cutting</t>
  </si>
  <si>
    <t>77.  </t>
  </si>
  <si>
    <t>Nylon 0 Cutting</t>
  </si>
  <si>
    <t>NO</t>
  </si>
  <si>
    <t>UOM</t>
  </si>
  <si>
    <t>online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</si>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</sst>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3" fontId="0" fillId="0" borderId="0" xfId="1" applyFont="1"/>
    <xf numFmtId="43" fontId="0" fillId="0" borderId="0" xfId="0" applyNumberFormat="1"/>
    <xf numFmtId="43" fontId="2" fillId="0" borderId="0" xfId="0" applyNumberFormat="1" applyFont="1"/>
    <xf numFmtId="9" fontId="2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AD8D-3F41-B541-9F75-5B3F0884954D}">
  <dimension ref="B3:I84"/>
  <sheetViews>
    <sheetView topLeftCell="A65" zoomScale="149" zoomScaleNormal="149" workbookViewId="0">
      <selection activeCell="I61" sqref="I61"/>
    </sheetView>
  </sheetViews>
  <sheetFormatPr baseColWidth="10" defaultRowHeight="16" x14ac:dyDescent="0.2"/>
  <cols>
    <col min="1" max="1" width="3.6640625" customWidth="1"/>
    <col min="2" max="2" width="7.1640625" style="1" customWidth="1"/>
    <col min="3" max="3" width="33" customWidth="1"/>
    <col min="4" max="5" width="10.83203125" style="1"/>
    <col min="6" max="6" width="11.6640625" customWidth="1"/>
    <col min="7" max="7" width="13.83203125" customWidth="1"/>
  </cols>
  <sheetData>
    <row r="3" spans="2:9" x14ac:dyDescent="0.2">
      <c r="B3" s="2" t="s">
        <v>169</v>
      </c>
      <c r="C3" s="2" t="s">
        <v>0</v>
      </c>
      <c r="D3" s="2" t="s">
        <v>170</v>
      </c>
      <c r="E3" s="2" t="s">
        <v>1</v>
      </c>
      <c r="F3" s="2" t="s">
        <v>2</v>
      </c>
      <c r="G3" s="2" t="s">
        <v>3</v>
      </c>
      <c r="H3" s="2" t="s">
        <v>171</v>
      </c>
      <c r="I3" s="6">
        <v>0.5</v>
      </c>
    </row>
    <row r="4" spans="2:9" x14ac:dyDescent="0.2">
      <c r="B4" s="1" t="s">
        <v>6</v>
      </c>
      <c r="C4" t="s">
        <v>7</v>
      </c>
      <c r="D4" s="1" t="s">
        <v>8</v>
      </c>
      <c r="E4" s="1">
        <v>100000</v>
      </c>
      <c r="F4" s="3">
        <v>0.65</v>
      </c>
      <c r="G4" s="3">
        <f>F4*E4</f>
        <v>65000</v>
      </c>
    </row>
    <row r="5" spans="2:9" x14ac:dyDescent="0.2">
      <c r="B5" s="1" t="s">
        <v>9</v>
      </c>
      <c r="C5" t="s">
        <v>10</v>
      </c>
      <c r="D5" s="1" t="s">
        <v>8</v>
      </c>
      <c r="E5" s="1">
        <v>200000</v>
      </c>
      <c r="F5" s="3">
        <v>0.65</v>
      </c>
      <c r="G5" s="3">
        <f t="shared" ref="G5:G68" si="0">F5*E5</f>
        <v>130000</v>
      </c>
    </row>
    <row r="6" spans="2:9" x14ac:dyDescent="0.2">
      <c r="B6" s="1" t="s">
        <v>11</v>
      </c>
      <c r="C6" t="s">
        <v>12</v>
      </c>
      <c r="D6" s="1" t="s">
        <v>8</v>
      </c>
      <c r="E6" s="1">
        <v>100000</v>
      </c>
      <c r="F6" s="3">
        <v>0.65</v>
      </c>
      <c r="G6" s="3">
        <f t="shared" si="0"/>
        <v>65000</v>
      </c>
    </row>
    <row r="7" spans="2:9" x14ac:dyDescent="0.2">
      <c r="B7" s="1" t="s">
        <v>13</v>
      </c>
      <c r="C7" t="s">
        <v>14</v>
      </c>
      <c r="D7" s="1" t="s">
        <v>8</v>
      </c>
      <c r="E7" s="1">
        <v>20000</v>
      </c>
      <c r="F7" s="3">
        <v>0.55000000000000004</v>
      </c>
      <c r="G7" s="3">
        <f t="shared" si="0"/>
        <v>11000</v>
      </c>
    </row>
    <row r="8" spans="2:9" x14ac:dyDescent="0.2">
      <c r="B8" s="1" t="s">
        <v>15</v>
      </c>
      <c r="C8" t="s">
        <v>16</v>
      </c>
      <c r="D8" s="1" t="s">
        <v>8</v>
      </c>
      <c r="E8" s="1">
        <v>35000</v>
      </c>
      <c r="F8" s="3">
        <v>0.7</v>
      </c>
      <c r="G8" s="3">
        <f t="shared" si="0"/>
        <v>24500</v>
      </c>
    </row>
    <row r="9" spans="2:9" x14ac:dyDescent="0.2">
      <c r="B9" s="1" t="s">
        <v>17</v>
      </c>
      <c r="C9" t="s">
        <v>18</v>
      </c>
      <c r="D9" s="1" t="s">
        <v>8</v>
      </c>
      <c r="E9" s="1">
        <v>35000</v>
      </c>
      <c r="F9" s="3">
        <v>0.85</v>
      </c>
      <c r="G9" s="3">
        <f t="shared" si="0"/>
        <v>29750</v>
      </c>
    </row>
    <row r="10" spans="2:9" x14ac:dyDescent="0.2">
      <c r="B10" s="1" t="s">
        <v>19</v>
      </c>
      <c r="C10" t="s">
        <v>20</v>
      </c>
      <c r="D10" s="1" t="s">
        <v>21</v>
      </c>
      <c r="E10" s="1">
        <v>500</v>
      </c>
      <c r="F10" s="3">
        <v>330</v>
      </c>
      <c r="G10" s="3">
        <f t="shared" si="0"/>
        <v>165000</v>
      </c>
    </row>
    <row r="11" spans="2:9" x14ac:dyDescent="0.2">
      <c r="B11" s="1" t="s">
        <v>22</v>
      </c>
      <c r="C11" t="s">
        <v>23</v>
      </c>
      <c r="D11" s="1" t="s">
        <v>8</v>
      </c>
      <c r="E11" s="1">
        <v>500</v>
      </c>
      <c r="F11" s="3">
        <v>30</v>
      </c>
      <c r="G11" s="3">
        <f t="shared" si="0"/>
        <v>15000</v>
      </c>
    </row>
    <row r="12" spans="2:9" x14ac:dyDescent="0.2">
      <c r="B12" s="1" t="s">
        <v>24</v>
      </c>
      <c r="C12" t="s">
        <v>25</v>
      </c>
      <c r="D12" s="1" t="s">
        <v>8</v>
      </c>
      <c r="E12" s="1">
        <v>1000</v>
      </c>
      <c r="F12" s="3">
        <v>30</v>
      </c>
      <c r="G12" s="3">
        <f t="shared" si="0"/>
        <v>30000</v>
      </c>
    </row>
    <row r="13" spans="2:9" x14ac:dyDescent="0.2">
      <c r="B13" s="1" t="s">
        <v>26</v>
      </c>
      <c r="C13" t="s">
        <v>27</v>
      </c>
      <c r="D13" s="1" t="s">
        <v>28</v>
      </c>
      <c r="E13" s="1">
        <v>500</v>
      </c>
      <c r="F13" s="3">
        <v>30</v>
      </c>
      <c r="G13" s="3">
        <f t="shared" si="0"/>
        <v>15000</v>
      </c>
    </row>
    <row r="14" spans="2:9" x14ac:dyDescent="0.2">
      <c r="B14" s="1" t="s">
        <v>29</v>
      </c>
      <c r="C14" t="s">
        <v>30</v>
      </c>
      <c r="D14" s="1" t="s">
        <v>31</v>
      </c>
      <c r="E14" s="1">
        <v>20000</v>
      </c>
      <c r="F14" s="3">
        <v>5</v>
      </c>
      <c r="G14" s="3">
        <f t="shared" si="0"/>
        <v>100000</v>
      </c>
    </row>
    <row r="15" spans="2:9" x14ac:dyDescent="0.2">
      <c r="B15" s="1" t="s">
        <v>32</v>
      </c>
      <c r="C15" t="s">
        <v>33</v>
      </c>
      <c r="D15" s="1" t="s">
        <v>31</v>
      </c>
      <c r="E15" s="1">
        <v>20000</v>
      </c>
      <c r="F15" s="3">
        <v>5</v>
      </c>
      <c r="G15" s="3">
        <f t="shared" si="0"/>
        <v>100000</v>
      </c>
    </row>
    <row r="16" spans="2:9" x14ac:dyDescent="0.2">
      <c r="B16" s="1" t="s">
        <v>34</v>
      </c>
      <c r="C16" t="s">
        <v>35</v>
      </c>
      <c r="D16" s="1" t="s">
        <v>31</v>
      </c>
      <c r="E16" s="1">
        <v>30000</v>
      </c>
      <c r="F16" s="3">
        <v>5</v>
      </c>
      <c r="G16" s="3">
        <f t="shared" si="0"/>
        <v>150000</v>
      </c>
    </row>
    <row r="17" spans="2:7" x14ac:dyDescent="0.2">
      <c r="B17" s="1" t="s">
        <v>36</v>
      </c>
      <c r="C17" t="s">
        <v>37</v>
      </c>
      <c r="D17" s="1" t="s">
        <v>28</v>
      </c>
      <c r="E17" s="1">
        <v>200</v>
      </c>
      <c r="F17" s="3">
        <v>5</v>
      </c>
      <c r="G17" s="3">
        <f t="shared" si="0"/>
        <v>1000</v>
      </c>
    </row>
    <row r="18" spans="2:7" x14ac:dyDescent="0.2">
      <c r="B18" s="1" t="s">
        <v>38</v>
      </c>
      <c r="C18" t="s">
        <v>39</v>
      </c>
      <c r="D18" s="1" t="s">
        <v>28</v>
      </c>
      <c r="E18" s="1">
        <v>100</v>
      </c>
      <c r="F18" s="3">
        <v>5</v>
      </c>
      <c r="G18" s="3">
        <f t="shared" si="0"/>
        <v>500</v>
      </c>
    </row>
    <row r="19" spans="2:7" x14ac:dyDescent="0.2">
      <c r="B19" s="1" t="s">
        <v>40</v>
      </c>
      <c r="C19" t="s">
        <v>41</v>
      </c>
      <c r="D19" s="1" t="s">
        <v>28</v>
      </c>
      <c r="E19" s="1">
        <v>200</v>
      </c>
      <c r="F19" s="3">
        <v>5</v>
      </c>
      <c r="G19" s="3">
        <f t="shared" si="0"/>
        <v>1000</v>
      </c>
    </row>
    <row r="20" spans="2:7" x14ac:dyDescent="0.2">
      <c r="B20" s="1" t="s">
        <v>42</v>
      </c>
      <c r="C20" t="s">
        <v>43</v>
      </c>
      <c r="D20" s="1" t="s">
        <v>28</v>
      </c>
      <c r="E20" s="1">
        <v>100</v>
      </c>
      <c r="F20" s="3">
        <v>5</v>
      </c>
      <c r="G20" s="3">
        <f t="shared" si="0"/>
        <v>500</v>
      </c>
    </row>
    <row r="21" spans="2:7" x14ac:dyDescent="0.2">
      <c r="B21" s="1" t="s">
        <v>44</v>
      </c>
      <c r="C21" t="s">
        <v>45</v>
      </c>
      <c r="D21" s="1" t="s">
        <v>8</v>
      </c>
      <c r="E21" s="1">
        <v>500</v>
      </c>
      <c r="F21" s="3">
        <v>10</v>
      </c>
      <c r="G21" s="3">
        <f t="shared" si="0"/>
        <v>5000</v>
      </c>
    </row>
    <row r="22" spans="2:7" x14ac:dyDescent="0.2">
      <c r="B22" s="1" t="s">
        <v>46</v>
      </c>
      <c r="C22" t="s">
        <v>47</v>
      </c>
      <c r="D22" s="1" t="s">
        <v>8</v>
      </c>
      <c r="E22" s="1">
        <v>200</v>
      </c>
      <c r="F22" s="3">
        <v>5</v>
      </c>
      <c r="G22" s="3">
        <f t="shared" si="0"/>
        <v>1000</v>
      </c>
    </row>
    <row r="23" spans="2:7" x14ac:dyDescent="0.2">
      <c r="B23" s="1" t="s">
        <v>48</v>
      </c>
      <c r="C23" t="s">
        <v>49</v>
      </c>
      <c r="D23" s="1" t="s">
        <v>8</v>
      </c>
      <c r="E23" s="1">
        <v>60000</v>
      </c>
      <c r="F23" s="3">
        <v>1</v>
      </c>
      <c r="G23" s="3">
        <f t="shared" si="0"/>
        <v>60000</v>
      </c>
    </row>
    <row r="24" spans="2:7" x14ac:dyDescent="0.2">
      <c r="B24" s="1" t="s">
        <v>50</v>
      </c>
      <c r="C24" t="s">
        <v>51</v>
      </c>
      <c r="D24" s="1" t="s">
        <v>8</v>
      </c>
      <c r="E24" s="1">
        <v>100</v>
      </c>
      <c r="F24" s="3">
        <v>5</v>
      </c>
      <c r="G24" s="3">
        <f t="shared" si="0"/>
        <v>500</v>
      </c>
    </row>
    <row r="25" spans="2:7" x14ac:dyDescent="0.2">
      <c r="B25" s="1" t="s">
        <v>52</v>
      </c>
      <c r="C25" t="s">
        <v>53</v>
      </c>
      <c r="D25" s="1" t="s">
        <v>28</v>
      </c>
      <c r="E25" s="1">
        <v>100</v>
      </c>
      <c r="F25" s="3">
        <v>5</v>
      </c>
      <c r="G25" s="3">
        <f t="shared" si="0"/>
        <v>500</v>
      </c>
    </row>
    <row r="26" spans="2:7" x14ac:dyDescent="0.2">
      <c r="B26" s="1" t="s">
        <v>54</v>
      </c>
      <c r="C26" t="s">
        <v>55</v>
      </c>
      <c r="D26" s="1" t="s">
        <v>28</v>
      </c>
      <c r="E26" s="1">
        <v>100</v>
      </c>
      <c r="F26" s="3">
        <v>5</v>
      </c>
      <c r="G26" s="3">
        <f t="shared" si="0"/>
        <v>500</v>
      </c>
    </row>
    <row r="27" spans="2:7" x14ac:dyDescent="0.2">
      <c r="B27" s="1" t="s">
        <v>56</v>
      </c>
      <c r="C27" t="s">
        <v>57</v>
      </c>
      <c r="D27" s="1" t="s">
        <v>28</v>
      </c>
      <c r="E27" s="1">
        <v>100</v>
      </c>
      <c r="F27" s="3">
        <v>5</v>
      </c>
      <c r="G27" s="3">
        <f t="shared" si="0"/>
        <v>500</v>
      </c>
    </row>
    <row r="28" spans="2:7" x14ac:dyDescent="0.2">
      <c r="B28" s="1" t="s">
        <v>58</v>
      </c>
      <c r="C28" t="s">
        <v>59</v>
      </c>
      <c r="D28" s="1" t="s">
        <v>28</v>
      </c>
      <c r="E28" s="1">
        <v>10000</v>
      </c>
      <c r="F28" s="3">
        <v>0.85</v>
      </c>
      <c r="G28" s="3">
        <f t="shared" si="0"/>
        <v>8500</v>
      </c>
    </row>
    <row r="29" spans="2:7" x14ac:dyDescent="0.2">
      <c r="B29" s="1" t="s">
        <v>60</v>
      </c>
      <c r="C29" t="s">
        <v>61</v>
      </c>
      <c r="D29" s="1" t="s">
        <v>28</v>
      </c>
      <c r="E29" s="1">
        <v>10000</v>
      </c>
      <c r="F29" s="3">
        <v>0.85</v>
      </c>
      <c r="G29" s="3">
        <f t="shared" si="0"/>
        <v>8500</v>
      </c>
    </row>
    <row r="30" spans="2:7" x14ac:dyDescent="0.2">
      <c r="B30" s="1" t="s">
        <v>62</v>
      </c>
      <c r="C30" t="s">
        <v>63</v>
      </c>
      <c r="D30" s="1" t="s">
        <v>28</v>
      </c>
      <c r="E30" s="1">
        <v>10000</v>
      </c>
      <c r="F30" s="3">
        <v>0.85</v>
      </c>
      <c r="G30" s="3">
        <f t="shared" si="0"/>
        <v>8500</v>
      </c>
    </row>
    <row r="31" spans="2:7" x14ac:dyDescent="0.2">
      <c r="B31" s="1" t="s">
        <v>64</v>
      </c>
      <c r="C31" t="s">
        <v>65</v>
      </c>
      <c r="D31" s="1" t="s">
        <v>8</v>
      </c>
      <c r="E31" s="1">
        <v>2000</v>
      </c>
      <c r="F31" s="3">
        <v>20</v>
      </c>
      <c r="G31" s="3">
        <f t="shared" si="0"/>
        <v>40000</v>
      </c>
    </row>
    <row r="32" spans="2:7" x14ac:dyDescent="0.2">
      <c r="B32" s="1" t="s">
        <v>66</v>
      </c>
      <c r="C32" t="s">
        <v>67</v>
      </c>
      <c r="D32" s="1" t="s">
        <v>68</v>
      </c>
      <c r="E32" s="1">
        <v>800</v>
      </c>
      <c r="F32" s="3">
        <v>45</v>
      </c>
      <c r="G32" s="3">
        <f t="shared" si="0"/>
        <v>36000</v>
      </c>
    </row>
    <row r="33" spans="2:7" x14ac:dyDescent="0.2">
      <c r="B33" s="1" t="s">
        <v>69</v>
      </c>
      <c r="C33" t="s">
        <v>70</v>
      </c>
      <c r="D33" s="1" t="s">
        <v>28</v>
      </c>
      <c r="E33" s="1">
        <v>10000</v>
      </c>
      <c r="F33" s="3">
        <v>1.8</v>
      </c>
      <c r="G33" s="3">
        <f t="shared" si="0"/>
        <v>18000</v>
      </c>
    </row>
    <row r="34" spans="2:7" x14ac:dyDescent="0.2">
      <c r="B34" s="1" t="s">
        <v>71</v>
      </c>
      <c r="C34" t="s">
        <v>72</v>
      </c>
      <c r="D34" s="1" t="s">
        <v>28</v>
      </c>
      <c r="E34" s="1">
        <v>10000</v>
      </c>
      <c r="F34" s="3">
        <v>1.8</v>
      </c>
      <c r="G34" s="3">
        <f t="shared" si="0"/>
        <v>18000</v>
      </c>
    </row>
    <row r="35" spans="2:7" x14ac:dyDescent="0.2">
      <c r="B35" s="1" t="s">
        <v>73</v>
      </c>
      <c r="C35" t="s">
        <v>74</v>
      </c>
      <c r="D35" s="1" t="s">
        <v>28</v>
      </c>
      <c r="E35" s="1">
        <v>10000</v>
      </c>
      <c r="F35" s="3">
        <v>1.8</v>
      </c>
      <c r="G35" s="3">
        <f t="shared" si="0"/>
        <v>18000</v>
      </c>
    </row>
    <row r="36" spans="2:7" x14ac:dyDescent="0.2">
      <c r="B36" s="1" t="s">
        <v>75</v>
      </c>
      <c r="C36" t="s">
        <v>76</v>
      </c>
      <c r="D36" s="1" t="s">
        <v>28</v>
      </c>
      <c r="E36" s="1">
        <v>10000</v>
      </c>
      <c r="F36" s="3">
        <v>1.8</v>
      </c>
      <c r="G36" s="3">
        <f t="shared" si="0"/>
        <v>18000</v>
      </c>
    </row>
    <row r="37" spans="2:7" x14ac:dyDescent="0.2">
      <c r="B37" s="1" t="s">
        <v>77</v>
      </c>
      <c r="C37" t="s">
        <v>78</v>
      </c>
      <c r="D37" s="1" t="s">
        <v>28</v>
      </c>
      <c r="E37" s="1">
        <v>10000</v>
      </c>
      <c r="F37" s="3">
        <v>1.8</v>
      </c>
      <c r="G37" s="3">
        <f t="shared" si="0"/>
        <v>18000</v>
      </c>
    </row>
    <row r="38" spans="2:7" x14ac:dyDescent="0.2">
      <c r="B38" s="1" t="s">
        <v>79</v>
      </c>
      <c r="C38" t="s">
        <v>80</v>
      </c>
      <c r="D38" s="1" t="s">
        <v>81</v>
      </c>
      <c r="E38" s="1">
        <v>20</v>
      </c>
      <c r="F38" s="3">
        <v>85</v>
      </c>
      <c r="G38" s="3">
        <f t="shared" si="0"/>
        <v>1700</v>
      </c>
    </row>
    <row r="39" spans="2:7" x14ac:dyDescent="0.2">
      <c r="B39" s="1" t="s">
        <v>82</v>
      </c>
      <c r="C39" t="s">
        <v>83</v>
      </c>
      <c r="D39" s="1" t="s">
        <v>81</v>
      </c>
      <c r="E39" s="1">
        <v>50</v>
      </c>
      <c r="F39" s="3">
        <v>220</v>
      </c>
      <c r="G39" s="3">
        <f t="shared" si="0"/>
        <v>11000</v>
      </c>
    </row>
    <row r="40" spans="2:7" x14ac:dyDescent="0.2">
      <c r="B40" s="1" t="s">
        <v>84</v>
      </c>
      <c r="C40" t="s">
        <v>85</v>
      </c>
      <c r="D40" s="1" t="s">
        <v>81</v>
      </c>
      <c r="E40" s="1">
        <v>50</v>
      </c>
      <c r="F40" s="3">
        <v>220</v>
      </c>
      <c r="G40" s="3">
        <f t="shared" si="0"/>
        <v>11000</v>
      </c>
    </row>
    <row r="41" spans="2:7" x14ac:dyDescent="0.2">
      <c r="B41" s="1" t="s">
        <v>86</v>
      </c>
      <c r="C41" t="s">
        <v>87</v>
      </c>
      <c r="D41" s="1" t="s">
        <v>88</v>
      </c>
      <c r="E41" s="1">
        <v>150</v>
      </c>
      <c r="F41" s="3">
        <v>220</v>
      </c>
      <c r="G41" s="3">
        <f t="shared" si="0"/>
        <v>33000</v>
      </c>
    </row>
    <row r="42" spans="2:7" x14ac:dyDescent="0.2">
      <c r="B42" s="1" t="s">
        <v>89</v>
      </c>
      <c r="C42" t="s">
        <v>90</v>
      </c>
      <c r="D42" s="1" t="s">
        <v>28</v>
      </c>
      <c r="E42" s="1">
        <v>1000</v>
      </c>
      <c r="F42" s="3">
        <v>1.2</v>
      </c>
      <c r="G42" s="3">
        <f t="shared" si="0"/>
        <v>1200</v>
      </c>
    </row>
    <row r="43" spans="2:7" x14ac:dyDescent="0.2">
      <c r="B43" s="1" t="s">
        <v>91</v>
      </c>
      <c r="C43" t="s">
        <v>92</v>
      </c>
      <c r="D43" s="1" t="s">
        <v>28</v>
      </c>
      <c r="E43" s="1">
        <v>2000</v>
      </c>
      <c r="F43" s="3">
        <v>1.6</v>
      </c>
      <c r="G43" s="3">
        <f t="shared" si="0"/>
        <v>3200</v>
      </c>
    </row>
    <row r="44" spans="2:7" x14ac:dyDescent="0.2">
      <c r="B44" s="1" t="s">
        <v>93</v>
      </c>
      <c r="C44" t="s">
        <v>94</v>
      </c>
      <c r="D44" s="1" t="s">
        <v>95</v>
      </c>
      <c r="E44" s="1">
        <v>200</v>
      </c>
      <c r="F44" s="3">
        <v>5</v>
      </c>
      <c r="G44" s="3">
        <f t="shared" si="0"/>
        <v>1000</v>
      </c>
    </row>
    <row r="45" spans="2:7" x14ac:dyDescent="0.2">
      <c r="B45" s="1" t="s">
        <v>96</v>
      </c>
      <c r="C45" t="s">
        <v>97</v>
      </c>
      <c r="D45" s="1" t="s">
        <v>28</v>
      </c>
      <c r="E45" s="1">
        <v>100</v>
      </c>
      <c r="F45" s="3">
        <v>5</v>
      </c>
      <c r="G45" s="3">
        <f t="shared" si="0"/>
        <v>500</v>
      </c>
    </row>
    <row r="46" spans="2:7" x14ac:dyDescent="0.2">
      <c r="B46" s="1" t="s">
        <v>98</v>
      </c>
      <c r="C46" t="s">
        <v>99</v>
      </c>
      <c r="D46" s="1" t="s">
        <v>28</v>
      </c>
      <c r="E46" s="1">
        <v>100</v>
      </c>
      <c r="F46" s="3">
        <v>5</v>
      </c>
      <c r="G46" s="3">
        <f t="shared" si="0"/>
        <v>500</v>
      </c>
    </row>
    <row r="47" spans="2:7" x14ac:dyDescent="0.2">
      <c r="B47" s="1" t="s">
        <v>100</v>
      </c>
      <c r="C47" t="s">
        <v>101</v>
      </c>
      <c r="D47" s="1" t="s">
        <v>28</v>
      </c>
      <c r="E47" s="1">
        <v>100</v>
      </c>
      <c r="F47" s="3">
        <v>5</v>
      </c>
      <c r="G47" s="3">
        <f t="shared" si="0"/>
        <v>500</v>
      </c>
    </row>
    <row r="48" spans="2:7" x14ac:dyDescent="0.2">
      <c r="B48" s="1" t="s">
        <v>102</v>
      </c>
      <c r="C48" t="s">
        <v>103</v>
      </c>
      <c r="D48" s="1" t="s">
        <v>28</v>
      </c>
      <c r="E48" s="1">
        <v>100</v>
      </c>
      <c r="F48" s="3">
        <v>5</v>
      </c>
      <c r="G48" s="3">
        <f t="shared" si="0"/>
        <v>500</v>
      </c>
    </row>
    <row r="49" spans="2:9" x14ac:dyDescent="0.2">
      <c r="B49" s="1" t="s">
        <v>104</v>
      </c>
      <c r="C49" t="s">
        <v>105</v>
      </c>
      <c r="D49" s="1" t="s">
        <v>28</v>
      </c>
      <c r="E49" s="1">
        <v>2000</v>
      </c>
      <c r="F49" s="3">
        <v>1</v>
      </c>
      <c r="G49" s="3">
        <f t="shared" si="0"/>
        <v>2000</v>
      </c>
    </row>
    <row r="50" spans="2:9" x14ac:dyDescent="0.2">
      <c r="B50" s="1" t="s">
        <v>106</v>
      </c>
      <c r="C50" t="s">
        <v>107</v>
      </c>
      <c r="D50" s="1" t="s">
        <v>28</v>
      </c>
      <c r="E50" s="1">
        <v>5000</v>
      </c>
      <c r="F50" s="3">
        <v>0.65</v>
      </c>
      <c r="G50" s="3">
        <f t="shared" si="0"/>
        <v>3250</v>
      </c>
    </row>
    <row r="51" spans="2:9" x14ac:dyDescent="0.2">
      <c r="B51" s="1" t="s">
        <v>108</v>
      </c>
      <c r="C51" t="s">
        <v>109</v>
      </c>
      <c r="D51" s="1" t="s">
        <v>28</v>
      </c>
      <c r="E51" s="1">
        <v>50</v>
      </c>
      <c r="F51" s="3">
        <v>160</v>
      </c>
      <c r="G51" s="3">
        <f t="shared" si="0"/>
        <v>8000</v>
      </c>
    </row>
    <row r="52" spans="2:9" x14ac:dyDescent="0.2">
      <c r="B52" s="1" t="s">
        <v>110</v>
      </c>
      <c r="C52" t="s">
        <v>111</v>
      </c>
      <c r="D52" s="1" t="s">
        <v>28</v>
      </c>
      <c r="E52" s="1">
        <v>20</v>
      </c>
      <c r="F52" s="3">
        <v>400</v>
      </c>
      <c r="G52" s="3">
        <f t="shared" si="0"/>
        <v>8000</v>
      </c>
    </row>
    <row r="53" spans="2:9" x14ac:dyDescent="0.2">
      <c r="B53" s="1" t="s">
        <v>112</v>
      </c>
      <c r="C53" t="s">
        <v>113</v>
      </c>
      <c r="D53" s="1" t="s">
        <v>28</v>
      </c>
      <c r="E53" s="1">
        <v>40</v>
      </c>
      <c r="F53" s="3"/>
      <c r="G53" s="3">
        <f t="shared" si="0"/>
        <v>0</v>
      </c>
    </row>
    <row r="54" spans="2:9" x14ac:dyDescent="0.2">
      <c r="B54" s="1" t="s">
        <v>114</v>
      </c>
      <c r="C54" t="s">
        <v>115</v>
      </c>
      <c r="D54" s="1" t="s">
        <v>28</v>
      </c>
      <c r="E54" s="1">
        <v>40</v>
      </c>
      <c r="F54" s="3"/>
      <c r="G54" s="3">
        <f t="shared" si="0"/>
        <v>0</v>
      </c>
    </row>
    <row r="55" spans="2:9" x14ac:dyDescent="0.2">
      <c r="B55" s="1" t="s">
        <v>116</v>
      </c>
      <c r="C55" t="s">
        <v>117</v>
      </c>
      <c r="D55" s="1" t="s">
        <v>28</v>
      </c>
      <c r="E55" s="1">
        <v>50</v>
      </c>
      <c r="F55" s="3">
        <v>20</v>
      </c>
      <c r="G55" s="3">
        <f t="shared" si="0"/>
        <v>1000</v>
      </c>
    </row>
    <row r="56" spans="2:9" x14ac:dyDescent="0.2">
      <c r="B56" s="1" t="s">
        <v>118</v>
      </c>
      <c r="C56" t="s">
        <v>119</v>
      </c>
      <c r="D56" s="1" t="s">
        <v>28</v>
      </c>
      <c r="E56" s="1">
        <v>50</v>
      </c>
      <c r="F56" s="3"/>
      <c r="G56" s="3">
        <f t="shared" si="0"/>
        <v>0</v>
      </c>
    </row>
    <row r="57" spans="2:9" x14ac:dyDescent="0.2">
      <c r="B57" s="1" t="s">
        <v>120</v>
      </c>
      <c r="C57" t="s">
        <v>121</v>
      </c>
      <c r="D57" s="1" t="s">
        <v>28</v>
      </c>
      <c r="E57" s="1">
        <v>100</v>
      </c>
      <c r="F57" s="3"/>
      <c r="G57" s="3">
        <f t="shared" si="0"/>
        <v>0</v>
      </c>
      <c r="H57" s="3"/>
      <c r="I57" s="4"/>
    </row>
    <row r="58" spans="2:9" x14ac:dyDescent="0.2">
      <c r="B58" s="1" t="s">
        <v>122</v>
      </c>
      <c r="C58" t="s">
        <v>123</v>
      </c>
      <c r="D58" s="1" t="s">
        <v>28</v>
      </c>
      <c r="E58" s="1">
        <v>50</v>
      </c>
      <c r="F58" s="3">
        <v>500</v>
      </c>
      <c r="G58" s="3">
        <f t="shared" si="0"/>
        <v>25000</v>
      </c>
    </row>
    <row r="59" spans="2:9" x14ac:dyDescent="0.2">
      <c r="B59" s="1" t="s">
        <v>124</v>
      </c>
      <c r="C59" t="s">
        <v>125</v>
      </c>
      <c r="D59" s="1" t="s">
        <v>28</v>
      </c>
      <c r="E59" s="1">
        <v>2000</v>
      </c>
      <c r="F59" s="3">
        <v>50</v>
      </c>
      <c r="G59" s="3">
        <f t="shared" si="0"/>
        <v>100000</v>
      </c>
    </row>
    <row r="60" spans="2:9" x14ac:dyDescent="0.2">
      <c r="B60" s="1" t="s">
        <v>126</v>
      </c>
      <c r="C60" t="s">
        <v>127</v>
      </c>
      <c r="D60" s="1" t="s">
        <v>28</v>
      </c>
      <c r="E60" s="1">
        <v>500</v>
      </c>
      <c r="F60" s="3">
        <v>15</v>
      </c>
      <c r="G60" s="3">
        <f t="shared" si="0"/>
        <v>7500</v>
      </c>
    </row>
    <row r="61" spans="2:9" x14ac:dyDescent="0.2">
      <c r="B61" s="1" t="s">
        <v>128</v>
      </c>
      <c r="C61" t="s">
        <v>129</v>
      </c>
      <c r="D61" s="1" t="s">
        <v>28</v>
      </c>
      <c r="E61" s="1">
        <v>500</v>
      </c>
      <c r="F61" s="3">
        <v>15</v>
      </c>
      <c r="G61" s="3">
        <f t="shared" si="0"/>
        <v>7500</v>
      </c>
    </row>
    <row r="62" spans="2:9" x14ac:dyDescent="0.2">
      <c r="B62" s="1" t="s">
        <v>130</v>
      </c>
      <c r="C62" t="s">
        <v>131</v>
      </c>
      <c r="D62" s="1" t="s">
        <v>28</v>
      </c>
      <c r="E62" s="1">
        <v>500</v>
      </c>
      <c r="F62" s="3">
        <v>15</v>
      </c>
      <c r="G62" s="3">
        <f t="shared" si="0"/>
        <v>7500</v>
      </c>
    </row>
    <row r="63" spans="2:9" x14ac:dyDescent="0.2">
      <c r="B63" s="1" t="s">
        <v>132</v>
      </c>
      <c r="C63" t="s">
        <v>133</v>
      </c>
      <c r="D63" s="1" t="s">
        <v>28</v>
      </c>
      <c r="E63" s="1">
        <v>100</v>
      </c>
      <c r="F63" s="3">
        <v>20</v>
      </c>
      <c r="G63" s="3">
        <f t="shared" si="0"/>
        <v>2000</v>
      </c>
    </row>
    <row r="64" spans="2:9" x14ac:dyDescent="0.2">
      <c r="B64" s="1" t="s">
        <v>134</v>
      </c>
      <c r="C64" t="s">
        <v>135</v>
      </c>
      <c r="D64" s="1" t="s">
        <v>28</v>
      </c>
      <c r="E64" s="1">
        <v>100</v>
      </c>
      <c r="F64" s="3">
        <v>20</v>
      </c>
      <c r="G64" s="3">
        <f t="shared" si="0"/>
        <v>2000</v>
      </c>
    </row>
    <row r="65" spans="2:9" x14ac:dyDescent="0.2">
      <c r="B65" s="1" t="s">
        <v>136</v>
      </c>
      <c r="C65" t="s">
        <v>137</v>
      </c>
      <c r="D65" s="1" t="s">
        <v>28</v>
      </c>
      <c r="E65" s="1">
        <v>100</v>
      </c>
      <c r="F65" s="3"/>
      <c r="G65" s="3">
        <f t="shared" si="0"/>
        <v>0</v>
      </c>
    </row>
    <row r="66" spans="2:9" x14ac:dyDescent="0.2">
      <c r="B66" s="1" t="s">
        <v>138</v>
      </c>
      <c r="C66" t="s">
        <v>139</v>
      </c>
      <c r="D66" s="1" t="s">
        <v>28</v>
      </c>
      <c r="E66" s="1">
        <v>300</v>
      </c>
      <c r="F66" s="3"/>
      <c r="G66" s="3">
        <f t="shared" si="0"/>
        <v>0</v>
      </c>
    </row>
    <row r="67" spans="2:9" x14ac:dyDescent="0.2">
      <c r="B67" s="1" t="s">
        <v>140</v>
      </c>
      <c r="C67" t="s">
        <v>141</v>
      </c>
      <c r="D67" s="1" t="s">
        <v>28</v>
      </c>
      <c r="E67" s="1">
        <v>3</v>
      </c>
      <c r="F67" s="3"/>
      <c r="G67" s="3">
        <f t="shared" si="0"/>
        <v>0</v>
      </c>
    </row>
    <row r="68" spans="2:9" x14ac:dyDescent="0.2">
      <c r="B68" s="1" t="s">
        <v>142</v>
      </c>
      <c r="C68" t="s">
        <v>143</v>
      </c>
      <c r="D68" s="1" t="s">
        <v>28</v>
      </c>
      <c r="E68" s="1">
        <v>100</v>
      </c>
      <c r="F68" s="3">
        <v>150</v>
      </c>
      <c r="G68" s="3">
        <f t="shared" si="0"/>
        <v>15000</v>
      </c>
      <c r="H68" s="3">
        <v>100</v>
      </c>
      <c r="I68" s="4">
        <f>(H68*50%)+H68</f>
        <v>150</v>
      </c>
    </row>
    <row r="69" spans="2:9" x14ac:dyDescent="0.2">
      <c r="B69" s="1" t="s">
        <v>144</v>
      </c>
      <c r="C69" t="s">
        <v>145</v>
      </c>
      <c r="D69" s="1" t="s">
        <v>28</v>
      </c>
      <c r="E69" s="1">
        <v>2000</v>
      </c>
      <c r="F69" s="3">
        <v>0.3</v>
      </c>
      <c r="G69" s="3">
        <f t="shared" ref="G69:G80" si="1">F69*E69</f>
        <v>600</v>
      </c>
    </row>
    <row r="70" spans="2:9" x14ac:dyDescent="0.2">
      <c r="B70" s="1" t="s">
        <v>146</v>
      </c>
      <c r="C70" t="s">
        <v>147</v>
      </c>
      <c r="D70" s="1" t="s">
        <v>148</v>
      </c>
      <c r="E70" s="1">
        <v>100</v>
      </c>
      <c r="F70" s="3">
        <v>100</v>
      </c>
      <c r="G70" s="3">
        <f t="shared" si="1"/>
        <v>10000</v>
      </c>
    </row>
    <row r="71" spans="2:9" x14ac:dyDescent="0.2">
      <c r="B71" s="1" t="s">
        <v>149</v>
      </c>
      <c r="C71" t="s">
        <v>150</v>
      </c>
      <c r="D71" s="1" t="s">
        <v>28</v>
      </c>
      <c r="E71" s="1">
        <v>10</v>
      </c>
      <c r="F71" s="3">
        <v>500</v>
      </c>
      <c r="G71" s="3">
        <f t="shared" si="1"/>
        <v>5000</v>
      </c>
    </row>
    <row r="72" spans="2:9" x14ac:dyDescent="0.2">
      <c r="B72" s="1" t="s">
        <v>151</v>
      </c>
      <c r="C72" t="s">
        <v>152</v>
      </c>
      <c r="D72" s="1" t="s">
        <v>28</v>
      </c>
      <c r="E72" s="1">
        <v>10</v>
      </c>
      <c r="F72" s="3">
        <v>500</v>
      </c>
      <c r="G72" s="3">
        <f t="shared" si="1"/>
        <v>5000</v>
      </c>
    </row>
    <row r="73" spans="2:9" x14ac:dyDescent="0.2">
      <c r="B73" s="1" t="s">
        <v>153</v>
      </c>
      <c r="C73" t="s">
        <v>154</v>
      </c>
      <c r="D73" s="1" t="s">
        <v>28</v>
      </c>
      <c r="E73" s="1">
        <v>10</v>
      </c>
      <c r="F73" s="3">
        <v>500</v>
      </c>
      <c r="G73" s="3">
        <f t="shared" si="1"/>
        <v>5000</v>
      </c>
    </row>
    <row r="74" spans="2:9" x14ac:dyDescent="0.2">
      <c r="B74" s="1" t="s">
        <v>155</v>
      </c>
      <c r="C74" t="s">
        <v>156</v>
      </c>
      <c r="D74" s="1" t="s">
        <v>28</v>
      </c>
      <c r="E74" s="1">
        <v>10</v>
      </c>
      <c r="F74" s="3">
        <v>500</v>
      </c>
      <c r="G74" s="3">
        <f t="shared" si="1"/>
        <v>5000</v>
      </c>
    </row>
    <row r="75" spans="2:9" x14ac:dyDescent="0.2">
      <c r="B75" s="1" t="s">
        <v>157</v>
      </c>
      <c r="C75" t="s">
        <v>158</v>
      </c>
      <c r="D75" s="1" t="s">
        <v>28</v>
      </c>
      <c r="E75" s="1">
        <v>10</v>
      </c>
      <c r="F75" s="3">
        <v>100</v>
      </c>
      <c r="G75" s="3">
        <f t="shared" si="1"/>
        <v>1000</v>
      </c>
    </row>
    <row r="76" spans="2:9" x14ac:dyDescent="0.2">
      <c r="B76" s="1" t="s">
        <v>159</v>
      </c>
      <c r="C76" t="s">
        <v>160</v>
      </c>
      <c r="D76" s="1" t="s">
        <v>28</v>
      </c>
      <c r="E76" s="1">
        <v>20</v>
      </c>
      <c r="F76" s="3">
        <v>400</v>
      </c>
      <c r="G76" s="3">
        <f t="shared" si="1"/>
        <v>8000</v>
      </c>
      <c r="H76" s="3">
        <v>250</v>
      </c>
      <c r="I76" s="4">
        <f>(H76*50%)+H76</f>
        <v>375</v>
      </c>
    </row>
    <row r="77" spans="2:9" x14ac:dyDescent="0.2">
      <c r="B77" s="1" t="s">
        <v>161</v>
      </c>
      <c r="C77" t="s">
        <v>162</v>
      </c>
      <c r="D77" s="1" t="s">
        <v>28</v>
      </c>
      <c r="E77" s="1">
        <v>50</v>
      </c>
      <c r="F77" s="3">
        <v>75</v>
      </c>
      <c r="G77" s="3">
        <f t="shared" si="1"/>
        <v>3750</v>
      </c>
    </row>
    <row r="78" spans="2:9" x14ac:dyDescent="0.2">
      <c r="B78" s="1" t="s">
        <v>163</v>
      </c>
      <c r="C78" t="s">
        <v>164</v>
      </c>
      <c r="D78" s="1" t="s">
        <v>28</v>
      </c>
      <c r="E78" s="1">
        <v>50</v>
      </c>
      <c r="F78" s="3">
        <v>75</v>
      </c>
      <c r="G78" s="3">
        <f t="shared" si="1"/>
        <v>3750</v>
      </c>
    </row>
    <row r="79" spans="2:9" x14ac:dyDescent="0.2">
      <c r="B79" s="1" t="s">
        <v>165</v>
      </c>
      <c r="C79" t="s">
        <v>166</v>
      </c>
      <c r="D79" s="1" t="s">
        <v>28</v>
      </c>
      <c r="E79" s="1">
        <v>50</v>
      </c>
      <c r="F79" s="3">
        <v>75</v>
      </c>
      <c r="G79" s="3">
        <f t="shared" si="1"/>
        <v>3750</v>
      </c>
    </row>
    <row r="80" spans="2:9" x14ac:dyDescent="0.2">
      <c r="B80" s="1" t="s">
        <v>167</v>
      </c>
      <c r="C80" t="s">
        <v>168</v>
      </c>
      <c r="D80" s="1" t="s">
        <v>28</v>
      </c>
      <c r="E80" s="1">
        <v>50</v>
      </c>
      <c r="F80" s="3">
        <v>75</v>
      </c>
      <c r="G80" s="3">
        <f t="shared" si="1"/>
        <v>3750</v>
      </c>
    </row>
    <row r="82" spans="7:7" x14ac:dyDescent="0.2">
      <c r="G82" s="5">
        <f>SUM(G4:G80)</f>
        <v>1470200</v>
      </c>
    </row>
    <row r="83" spans="7:7" x14ac:dyDescent="0.2">
      <c r="G83" s="5">
        <f>20%*G82</f>
        <v>294040</v>
      </c>
    </row>
    <row r="84" spans="7:7" x14ac:dyDescent="0.2">
      <c r="G84" s="5">
        <f>G83+G82</f>
        <v>1764240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89D7-7930-864F-BA1C-66D07AEC4191}">
  <dimension ref="B3:I77"/>
  <sheetViews>
    <sheetView tabSelected="1" topLeftCell="A15" zoomScale="149" zoomScaleNormal="149" workbookViewId="0">
      <selection activeCell="G77" sqref="G77"/>
    </sheetView>
  </sheetViews>
  <sheetFormatPr baseColWidth="10" defaultRowHeight="16" x14ac:dyDescent="0.2"/>
  <cols>
    <col min="1" max="1" width="3.6640625" customWidth="1"/>
    <col min="2" max="2" width="7.1640625" style="1" customWidth="1"/>
    <col min="3" max="3" width="30.5" bestFit="1" customWidth="1"/>
    <col min="4" max="4" width="8" style="1" customWidth="1"/>
    <col min="5" max="5" width="10.83203125" style="1"/>
    <col min="6" max="6" width="13.1640625" bestFit="1" customWidth="1"/>
    <col min="7" max="7" width="13.83203125" customWidth="1"/>
  </cols>
  <sheetData>
    <row r="3" spans="2:9" x14ac:dyDescent="0.2">
      <c r="B3" s="2" t="s">
        <v>169</v>
      </c>
      <c r="C3" s="2" t="s">
        <v>0</v>
      </c>
      <c r="D3" s="2" t="s">
        <v>170</v>
      </c>
      <c r="E3" s="2" t="s">
        <v>1</v>
      </c>
      <c r="F3" s="2" t="s">
        <v>2</v>
      </c>
      <c r="G3" s="2" t="s">
        <v>3</v>
      </c>
      <c r="H3" s="2" t="s">
        <v>171</v>
      </c>
      <c r="I3" s="6">
        <v>0.5</v>
      </c>
    </row>
    <row r="4" spans="2:9" x14ac:dyDescent="0.2">
      <c r="B4" s="1">
        <v>1</v>
      </c>
      <c r="C4" t="s">
        <v>7</v>
      </c>
      <c r="D4" s="1" t="s">
        <v>8</v>
      </c>
      <c r="E4" s="1">
        <v>100000</v>
      </c>
      <c r="F4" s="3">
        <v>0.65</v>
      </c>
      <c r="G4" s="3">
        <f>F4*E4</f>
        <v>65000</v>
      </c>
    </row>
    <row r="5" spans="2:9" x14ac:dyDescent="0.2">
      <c r="B5" s="1">
        <v>2</v>
      </c>
      <c r="C5" t="s">
        <v>10</v>
      </c>
      <c r="D5" s="1" t="s">
        <v>8</v>
      </c>
      <c r="E5" s="1">
        <v>200000</v>
      </c>
      <c r="F5" s="3">
        <v>0.65</v>
      </c>
      <c r="G5" s="3">
        <f t="shared" ref="G5:G68" si="0">F5*E5</f>
        <v>130000</v>
      </c>
    </row>
    <row r="6" spans="2:9" x14ac:dyDescent="0.2">
      <c r="B6" s="1">
        <v>3</v>
      </c>
      <c r="C6" t="s">
        <v>12</v>
      </c>
      <c r="D6" s="1" t="s">
        <v>8</v>
      </c>
      <c r="E6" s="1">
        <v>100000</v>
      </c>
      <c r="F6" s="3">
        <v>0.65</v>
      </c>
      <c r="G6" s="3">
        <f t="shared" si="0"/>
        <v>65000</v>
      </c>
    </row>
    <row r="7" spans="2:9" x14ac:dyDescent="0.2">
      <c r="B7" s="1">
        <v>4</v>
      </c>
      <c r="C7" t="s">
        <v>14</v>
      </c>
      <c r="D7" s="1" t="s">
        <v>8</v>
      </c>
      <c r="E7" s="1">
        <v>20000</v>
      </c>
      <c r="F7" s="3">
        <v>0.55000000000000004</v>
      </c>
      <c r="G7" s="3">
        <f t="shared" si="0"/>
        <v>11000</v>
      </c>
    </row>
    <row r="8" spans="2:9" x14ac:dyDescent="0.2">
      <c r="B8" s="1">
        <v>5</v>
      </c>
      <c r="C8" t="s">
        <v>16</v>
      </c>
      <c r="D8" s="1" t="s">
        <v>8</v>
      </c>
      <c r="E8" s="1">
        <v>35000</v>
      </c>
      <c r="F8" s="3">
        <v>0.7</v>
      </c>
      <c r="G8" s="3">
        <f t="shared" si="0"/>
        <v>24500</v>
      </c>
    </row>
    <row r="9" spans="2:9" x14ac:dyDescent="0.2">
      <c r="B9" s="1">
        <v>6</v>
      </c>
      <c r="C9" t="s">
        <v>18</v>
      </c>
      <c r="D9" s="1" t="s">
        <v>8</v>
      </c>
      <c r="E9" s="1">
        <v>35000</v>
      </c>
      <c r="F9" s="3">
        <v>0.85</v>
      </c>
      <c r="G9" s="3">
        <f t="shared" si="0"/>
        <v>29750</v>
      </c>
    </row>
    <row r="10" spans="2:9" x14ac:dyDescent="0.2">
      <c r="B10" s="1">
        <v>7</v>
      </c>
      <c r="C10" t="s">
        <v>20</v>
      </c>
      <c r="D10" s="1" t="s">
        <v>21</v>
      </c>
      <c r="E10" s="1">
        <v>500</v>
      </c>
      <c r="F10" s="3">
        <v>320</v>
      </c>
      <c r="G10" s="3">
        <f>F10*E10</f>
        <v>160000</v>
      </c>
    </row>
    <row r="11" spans="2:9" x14ac:dyDescent="0.2">
      <c r="B11" s="1">
        <v>8</v>
      </c>
      <c r="C11" t="s">
        <v>23</v>
      </c>
      <c r="D11" s="1" t="s">
        <v>8</v>
      </c>
      <c r="E11" s="1">
        <v>500</v>
      </c>
      <c r="F11" s="3">
        <v>30</v>
      </c>
      <c r="G11" s="3">
        <f t="shared" si="0"/>
        <v>15000</v>
      </c>
    </row>
    <row r="12" spans="2:9" x14ac:dyDescent="0.2">
      <c r="B12" s="1">
        <v>9</v>
      </c>
      <c r="C12" t="s">
        <v>25</v>
      </c>
      <c r="D12" s="1" t="s">
        <v>8</v>
      </c>
      <c r="E12" s="1">
        <v>1000</v>
      </c>
      <c r="F12" s="3">
        <v>30</v>
      </c>
      <c r="G12" s="3">
        <f t="shared" si="0"/>
        <v>30000</v>
      </c>
    </row>
    <row r="13" spans="2:9" x14ac:dyDescent="0.2">
      <c r="B13" s="1">
        <v>10</v>
      </c>
      <c r="C13" t="s">
        <v>27</v>
      </c>
      <c r="D13" s="1" t="s">
        <v>28</v>
      </c>
      <c r="E13" s="1">
        <v>500</v>
      </c>
      <c r="F13" s="3">
        <v>30</v>
      </c>
      <c r="G13" s="3">
        <f t="shared" si="0"/>
        <v>15000</v>
      </c>
    </row>
    <row r="14" spans="2:9" x14ac:dyDescent="0.2">
      <c r="B14" s="1">
        <v>11</v>
      </c>
      <c r="C14" t="s">
        <v>30</v>
      </c>
      <c r="D14" s="1" t="s">
        <v>31</v>
      </c>
      <c r="E14" s="1">
        <v>20000</v>
      </c>
      <c r="F14" s="3">
        <v>5</v>
      </c>
      <c r="G14" s="3">
        <f t="shared" si="0"/>
        <v>100000</v>
      </c>
    </row>
    <row r="15" spans="2:9" x14ac:dyDescent="0.2">
      <c r="B15" s="1">
        <v>12</v>
      </c>
      <c r="C15" t="s">
        <v>33</v>
      </c>
      <c r="D15" s="1" t="s">
        <v>31</v>
      </c>
      <c r="E15" s="1">
        <v>20000</v>
      </c>
      <c r="F15" s="3">
        <v>5</v>
      </c>
      <c r="G15" s="3">
        <f t="shared" si="0"/>
        <v>100000</v>
      </c>
    </row>
    <row r="16" spans="2:9" x14ac:dyDescent="0.2">
      <c r="B16" s="1">
        <v>13</v>
      </c>
      <c r="C16" t="s">
        <v>35</v>
      </c>
      <c r="D16" s="1" t="s">
        <v>31</v>
      </c>
      <c r="E16" s="1">
        <v>30000</v>
      </c>
      <c r="F16" s="3">
        <v>5</v>
      </c>
      <c r="G16" s="3">
        <f t="shared" si="0"/>
        <v>150000</v>
      </c>
    </row>
    <row r="17" spans="2:7" x14ac:dyDescent="0.2">
      <c r="B17" s="1">
        <v>14</v>
      </c>
      <c r="C17" t="s">
        <v>37</v>
      </c>
      <c r="D17" s="1" t="s">
        <v>28</v>
      </c>
      <c r="E17" s="1">
        <v>200</v>
      </c>
      <c r="F17" s="3">
        <v>5</v>
      </c>
      <c r="G17" s="3">
        <f t="shared" si="0"/>
        <v>1000</v>
      </c>
    </row>
    <row r="18" spans="2:7" x14ac:dyDescent="0.2">
      <c r="B18" s="1">
        <v>15</v>
      </c>
      <c r="C18" t="s">
        <v>39</v>
      </c>
      <c r="D18" s="1" t="s">
        <v>28</v>
      </c>
      <c r="E18" s="1">
        <v>100</v>
      </c>
      <c r="F18" s="3">
        <v>5</v>
      </c>
      <c r="G18" s="3">
        <f t="shared" si="0"/>
        <v>500</v>
      </c>
    </row>
    <row r="19" spans="2:7" x14ac:dyDescent="0.2">
      <c r="B19" s="1">
        <v>16</v>
      </c>
      <c r="C19" t="s">
        <v>41</v>
      </c>
      <c r="D19" s="1" t="s">
        <v>28</v>
      </c>
      <c r="E19" s="1">
        <v>200</v>
      </c>
      <c r="F19" s="3">
        <v>5</v>
      </c>
      <c r="G19" s="3">
        <f t="shared" si="0"/>
        <v>1000</v>
      </c>
    </row>
    <row r="20" spans="2:7" x14ac:dyDescent="0.2">
      <c r="B20" s="1">
        <v>17</v>
      </c>
      <c r="C20" t="s">
        <v>43</v>
      </c>
      <c r="D20" s="1" t="s">
        <v>28</v>
      </c>
      <c r="E20" s="1">
        <v>100</v>
      </c>
      <c r="F20" s="3">
        <v>5</v>
      </c>
      <c r="G20" s="3">
        <f t="shared" si="0"/>
        <v>500</v>
      </c>
    </row>
    <row r="21" spans="2:7" x14ac:dyDescent="0.2">
      <c r="B21" s="1">
        <v>18</v>
      </c>
      <c r="C21" t="s">
        <v>45</v>
      </c>
      <c r="D21" s="1" t="s">
        <v>8</v>
      </c>
      <c r="E21" s="1">
        <v>500</v>
      </c>
      <c r="F21" s="3">
        <v>10</v>
      </c>
      <c r="G21" s="3">
        <f t="shared" si="0"/>
        <v>5000</v>
      </c>
    </row>
    <row r="22" spans="2:7" x14ac:dyDescent="0.2">
      <c r="B22" s="1">
        <v>19</v>
      </c>
      <c r="C22" t="s">
        <v>47</v>
      </c>
      <c r="D22" s="1" t="s">
        <v>8</v>
      </c>
      <c r="E22" s="1">
        <v>200</v>
      </c>
      <c r="F22" s="3">
        <v>5</v>
      </c>
      <c r="G22" s="3">
        <f t="shared" si="0"/>
        <v>1000</v>
      </c>
    </row>
    <row r="23" spans="2:7" x14ac:dyDescent="0.2">
      <c r="B23" s="1">
        <v>20</v>
      </c>
      <c r="C23" t="s">
        <v>49</v>
      </c>
      <c r="D23" s="1" t="s">
        <v>8</v>
      </c>
      <c r="E23" s="1">
        <v>60000</v>
      </c>
      <c r="F23" s="3">
        <v>1</v>
      </c>
      <c r="G23" s="3">
        <f t="shared" si="0"/>
        <v>60000</v>
      </c>
    </row>
    <row r="24" spans="2:7" x14ac:dyDescent="0.2">
      <c r="B24" s="1">
        <v>21</v>
      </c>
      <c r="C24" t="s">
        <v>51</v>
      </c>
      <c r="D24" s="1" t="s">
        <v>8</v>
      </c>
      <c r="E24" s="1">
        <v>100</v>
      </c>
      <c r="F24" s="3">
        <v>5</v>
      </c>
      <c r="G24" s="3">
        <f t="shared" si="0"/>
        <v>500</v>
      </c>
    </row>
    <row r="25" spans="2:7" x14ac:dyDescent="0.2">
      <c r="B25" s="1">
        <v>22</v>
      </c>
      <c r="C25" t="s">
        <v>53</v>
      </c>
      <c r="D25" s="1" t="s">
        <v>28</v>
      </c>
      <c r="E25" s="1">
        <v>100</v>
      </c>
      <c r="F25" s="3">
        <v>5</v>
      </c>
      <c r="G25" s="3">
        <f t="shared" si="0"/>
        <v>500</v>
      </c>
    </row>
    <row r="26" spans="2:7" x14ac:dyDescent="0.2">
      <c r="B26" s="1">
        <v>23</v>
      </c>
      <c r="C26" t="s">
        <v>55</v>
      </c>
      <c r="D26" s="1" t="s">
        <v>28</v>
      </c>
      <c r="E26" s="1">
        <v>100</v>
      </c>
      <c r="F26" s="3">
        <v>5</v>
      </c>
      <c r="G26" s="3">
        <f t="shared" si="0"/>
        <v>500</v>
      </c>
    </row>
    <row r="27" spans="2:7" x14ac:dyDescent="0.2">
      <c r="B27" s="1">
        <v>24</v>
      </c>
      <c r="C27" t="s">
        <v>57</v>
      </c>
      <c r="D27" s="1" t="s">
        <v>28</v>
      </c>
      <c r="E27" s="1">
        <v>100</v>
      </c>
      <c r="F27" s="3">
        <v>5</v>
      </c>
      <c r="G27" s="3">
        <f t="shared" si="0"/>
        <v>500</v>
      </c>
    </row>
    <row r="28" spans="2:7" x14ac:dyDescent="0.2">
      <c r="B28" s="1">
        <v>25</v>
      </c>
      <c r="C28" t="s">
        <v>59</v>
      </c>
      <c r="D28" s="1" t="s">
        <v>28</v>
      </c>
      <c r="E28" s="1">
        <v>10000</v>
      </c>
      <c r="F28" s="3">
        <v>0.85</v>
      </c>
      <c r="G28" s="3">
        <f t="shared" si="0"/>
        <v>8500</v>
      </c>
    </row>
    <row r="29" spans="2:7" x14ac:dyDescent="0.2">
      <c r="B29" s="1">
        <v>26</v>
      </c>
      <c r="C29" t="s">
        <v>61</v>
      </c>
      <c r="D29" s="1" t="s">
        <v>28</v>
      </c>
      <c r="E29" s="1">
        <v>10000</v>
      </c>
      <c r="F29" s="3">
        <v>0.85</v>
      </c>
      <c r="G29" s="3">
        <f t="shared" si="0"/>
        <v>8500</v>
      </c>
    </row>
    <row r="30" spans="2:7" x14ac:dyDescent="0.2">
      <c r="B30" s="1">
        <v>27</v>
      </c>
      <c r="C30" t="s">
        <v>63</v>
      </c>
      <c r="D30" s="1" t="s">
        <v>28</v>
      </c>
      <c r="E30" s="1">
        <v>10000</v>
      </c>
      <c r="F30" s="3">
        <v>0.85</v>
      </c>
      <c r="G30" s="3">
        <f t="shared" si="0"/>
        <v>8500</v>
      </c>
    </row>
    <row r="31" spans="2:7" x14ac:dyDescent="0.2">
      <c r="B31" s="1">
        <v>28</v>
      </c>
      <c r="C31" t="s">
        <v>65</v>
      </c>
      <c r="D31" s="1" t="s">
        <v>8</v>
      </c>
      <c r="E31" s="1">
        <v>2000</v>
      </c>
      <c r="F31" s="3">
        <v>20</v>
      </c>
      <c r="G31" s="3">
        <f t="shared" si="0"/>
        <v>40000</v>
      </c>
    </row>
    <row r="32" spans="2:7" x14ac:dyDescent="0.2">
      <c r="B32" s="1">
        <v>29</v>
      </c>
      <c r="C32" t="s">
        <v>67</v>
      </c>
      <c r="D32" s="1" t="s">
        <v>68</v>
      </c>
      <c r="E32" s="1">
        <v>800</v>
      </c>
      <c r="F32" s="3">
        <v>45</v>
      </c>
      <c r="G32" s="3">
        <f t="shared" si="0"/>
        <v>36000</v>
      </c>
    </row>
    <row r="33" spans="2:7" x14ac:dyDescent="0.2">
      <c r="B33" s="1">
        <v>30</v>
      </c>
      <c r="C33" t="s">
        <v>70</v>
      </c>
      <c r="D33" s="1" t="s">
        <v>28</v>
      </c>
      <c r="E33" s="1">
        <v>10000</v>
      </c>
      <c r="F33" s="3">
        <v>1.8</v>
      </c>
      <c r="G33" s="3">
        <f t="shared" si="0"/>
        <v>18000</v>
      </c>
    </row>
    <row r="34" spans="2:7" x14ac:dyDescent="0.2">
      <c r="B34" s="1">
        <v>31</v>
      </c>
      <c r="C34" t="s">
        <v>72</v>
      </c>
      <c r="D34" s="1" t="s">
        <v>28</v>
      </c>
      <c r="E34" s="1">
        <v>10000</v>
      </c>
      <c r="F34" s="3">
        <v>1.8</v>
      </c>
      <c r="G34" s="3">
        <f t="shared" si="0"/>
        <v>18000</v>
      </c>
    </row>
    <row r="35" spans="2:7" x14ac:dyDescent="0.2">
      <c r="B35" s="1">
        <v>32</v>
      </c>
      <c r="C35" t="s">
        <v>74</v>
      </c>
      <c r="D35" s="1" t="s">
        <v>28</v>
      </c>
      <c r="E35" s="1">
        <v>10000</v>
      </c>
      <c r="F35" s="3">
        <v>1.8</v>
      </c>
      <c r="G35" s="3">
        <f t="shared" si="0"/>
        <v>18000</v>
      </c>
    </row>
    <row r="36" spans="2:7" x14ac:dyDescent="0.2">
      <c r="B36" s="1">
        <v>33</v>
      </c>
      <c r="C36" t="s">
        <v>76</v>
      </c>
      <c r="D36" s="1" t="s">
        <v>28</v>
      </c>
      <c r="E36" s="1">
        <v>10000</v>
      </c>
      <c r="F36" s="3">
        <v>1.8</v>
      </c>
      <c r="G36" s="3">
        <f t="shared" si="0"/>
        <v>18000</v>
      </c>
    </row>
    <row r="37" spans="2:7" x14ac:dyDescent="0.2">
      <c r="B37" s="1">
        <v>34</v>
      </c>
      <c r="C37" t="s">
        <v>78</v>
      </c>
      <c r="D37" s="1" t="s">
        <v>28</v>
      </c>
      <c r="E37" s="1">
        <v>10000</v>
      </c>
      <c r="F37" s="3">
        <v>1.8</v>
      </c>
      <c r="G37" s="3">
        <f t="shared" si="0"/>
        <v>18000</v>
      </c>
    </row>
    <row r="38" spans="2:7" x14ac:dyDescent="0.2">
      <c r="B38" s="1">
        <v>35</v>
      </c>
      <c r="C38" t="s">
        <v>80</v>
      </c>
      <c r="D38" s="1" t="s">
        <v>81</v>
      </c>
      <c r="E38" s="1">
        <v>20</v>
      </c>
      <c r="F38" s="3">
        <v>85</v>
      </c>
      <c r="G38" s="3">
        <f t="shared" si="0"/>
        <v>1700</v>
      </c>
    </row>
    <row r="39" spans="2:7" x14ac:dyDescent="0.2">
      <c r="B39" s="1">
        <v>36</v>
      </c>
      <c r="C39" t="s">
        <v>83</v>
      </c>
      <c r="D39" s="1" t="s">
        <v>81</v>
      </c>
      <c r="E39" s="1">
        <v>50</v>
      </c>
      <c r="F39" s="3">
        <v>220</v>
      </c>
      <c r="G39" s="3">
        <f t="shared" si="0"/>
        <v>11000</v>
      </c>
    </row>
    <row r="40" spans="2:7" x14ac:dyDescent="0.2">
      <c r="B40" s="1">
        <v>37</v>
      </c>
      <c r="C40" t="s">
        <v>85</v>
      </c>
      <c r="D40" s="1" t="s">
        <v>81</v>
      </c>
      <c r="E40" s="1">
        <v>50</v>
      </c>
      <c r="F40" s="3">
        <v>220</v>
      </c>
      <c r="G40" s="3">
        <f t="shared" si="0"/>
        <v>11000</v>
      </c>
    </row>
    <row r="41" spans="2:7" x14ac:dyDescent="0.2">
      <c r="B41" s="1">
        <v>38</v>
      </c>
      <c r="C41" t="s">
        <v>87</v>
      </c>
      <c r="D41" s="1" t="s">
        <v>88</v>
      </c>
      <c r="E41" s="1">
        <v>150</v>
      </c>
      <c r="F41" s="3">
        <v>220</v>
      </c>
      <c r="G41" s="3">
        <f t="shared" si="0"/>
        <v>33000</v>
      </c>
    </row>
    <row r="42" spans="2:7" x14ac:dyDescent="0.2">
      <c r="B42" s="1">
        <v>39</v>
      </c>
      <c r="C42" t="s">
        <v>90</v>
      </c>
      <c r="D42" s="1" t="s">
        <v>28</v>
      </c>
      <c r="E42" s="1">
        <v>1000</v>
      </c>
      <c r="F42" s="3">
        <v>1.2</v>
      </c>
      <c r="G42" s="3">
        <f t="shared" si="0"/>
        <v>1200</v>
      </c>
    </row>
    <row r="43" spans="2:7" x14ac:dyDescent="0.2">
      <c r="B43" s="1">
        <v>40</v>
      </c>
      <c r="C43" t="s">
        <v>92</v>
      </c>
      <c r="D43" s="1" t="s">
        <v>28</v>
      </c>
      <c r="E43" s="1">
        <v>2000</v>
      </c>
      <c r="F43" s="3">
        <v>1.6</v>
      </c>
      <c r="G43" s="3">
        <f t="shared" si="0"/>
        <v>3200</v>
      </c>
    </row>
    <row r="44" spans="2:7" x14ac:dyDescent="0.2">
      <c r="B44" s="1">
        <v>41</v>
      </c>
      <c r="C44" t="s">
        <v>94</v>
      </c>
      <c r="D44" s="1" t="s">
        <v>95</v>
      </c>
      <c r="E44" s="1">
        <v>200</v>
      </c>
      <c r="F44" s="3">
        <v>5</v>
      </c>
      <c r="G44" s="3">
        <f t="shared" si="0"/>
        <v>1000</v>
      </c>
    </row>
    <row r="45" spans="2:7" x14ac:dyDescent="0.2">
      <c r="B45" s="1">
        <v>42</v>
      </c>
      <c r="C45" t="s">
        <v>97</v>
      </c>
      <c r="D45" s="1" t="s">
        <v>28</v>
      </c>
      <c r="E45" s="1">
        <v>100</v>
      </c>
      <c r="F45" s="3">
        <v>5</v>
      </c>
      <c r="G45" s="3">
        <f t="shared" si="0"/>
        <v>500</v>
      </c>
    </row>
    <row r="46" spans="2:7" x14ac:dyDescent="0.2">
      <c r="B46" s="1">
        <v>43</v>
      </c>
      <c r="C46" t="s">
        <v>99</v>
      </c>
      <c r="D46" s="1" t="s">
        <v>28</v>
      </c>
      <c r="E46" s="1">
        <v>100</v>
      </c>
      <c r="F46" s="3">
        <v>5</v>
      </c>
      <c r="G46" s="3">
        <f t="shared" si="0"/>
        <v>500</v>
      </c>
    </row>
    <row r="47" spans="2:7" x14ac:dyDescent="0.2">
      <c r="B47" s="1">
        <v>44</v>
      </c>
      <c r="C47" t="s">
        <v>101</v>
      </c>
      <c r="D47" s="1" t="s">
        <v>28</v>
      </c>
      <c r="E47" s="1">
        <v>100</v>
      </c>
      <c r="F47" s="3">
        <v>5</v>
      </c>
      <c r="G47" s="3">
        <f t="shared" si="0"/>
        <v>500</v>
      </c>
    </row>
    <row r="48" spans="2:7" x14ac:dyDescent="0.2">
      <c r="B48" s="1">
        <v>45</v>
      </c>
      <c r="C48" t="s">
        <v>103</v>
      </c>
      <c r="D48" s="1" t="s">
        <v>28</v>
      </c>
      <c r="E48" s="1">
        <v>100</v>
      </c>
      <c r="F48" s="3">
        <v>5</v>
      </c>
      <c r="G48" s="3">
        <f t="shared" si="0"/>
        <v>500</v>
      </c>
    </row>
    <row r="49" spans="2:9" x14ac:dyDescent="0.2">
      <c r="B49" s="1">
        <v>46</v>
      </c>
      <c r="C49" t="s">
        <v>105</v>
      </c>
      <c r="D49" s="1" t="s">
        <v>28</v>
      </c>
      <c r="E49" s="1">
        <v>2000</v>
      </c>
      <c r="F49" s="3">
        <v>1</v>
      </c>
      <c r="G49" s="3">
        <f t="shared" si="0"/>
        <v>2000</v>
      </c>
    </row>
    <row r="50" spans="2:9" x14ac:dyDescent="0.2">
      <c r="B50" s="1">
        <v>47</v>
      </c>
      <c r="C50" t="s">
        <v>107</v>
      </c>
      <c r="D50" s="1" t="s">
        <v>28</v>
      </c>
      <c r="E50" s="1">
        <v>5000</v>
      </c>
      <c r="F50" s="3">
        <v>0.65</v>
      </c>
      <c r="G50" s="3">
        <f t="shared" si="0"/>
        <v>3250</v>
      </c>
    </row>
    <row r="51" spans="2:9" x14ac:dyDescent="0.2">
      <c r="B51" s="1">
        <v>48</v>
      </c>
      <c r="C51" t="s">
        <v>109</v>
      </c>
      <c r="D51" s="1" t="s">
        <v>28</v>
      </c>
      <c r="E51" s="1">
        <v>50</v>
      </c>
      <c r="F51" s="3">
        <v>160</v>
      </c>
      <c r="G51" s="3">
        <f t="shared" si="0"/>
        <v>8000</v>
      </c>
    </row>
    <row r="52" spans="2:9" x14ac:dyDescent="0.2">
      <c r="B52" s="1">
        <v>49</v>
      </c>
      <c r="C52" t="s">
        <v>111</v>
      </c>
      <c r="D52" s="1" t="s">
        <v>28</v>
      </c>
      <c r="E52" s="1">
        <v>20</v>
      </c>
      <c r="F52" s="3">
        <v>400</v>
      </c>
      <c r="G52" s="3">
        <f t="shared" si="0"/>
        <v>8000</v>
      </c>
    </row>
    <row r="53" spans="2:9" x14ac:dyDescent="0.2">
      <c r="B53" s="1">
        <v>50</v>
      </c>
      <c r="C53" t="s">
        <v>117</v>
      </c>
      <c r="D53" s="1" t="s">
        <v>28</v>
      </c>
      <c r="E53" s="1">
        <v>50</v>
      </c>
      <c r="F53" s="3">
        <v>20</v>
      </c>
      <c r="G53" s="3">
        <f t="shared" si="0"/>
        <v>1000</v>
      </c>
    </row>
    <row r="54" spans="2:9" x14ac:dyDescent="0.2">
      <c r="B54" s="1">
        <v>51</v>
      </c>
      <c r="C54" t="s">
        <v>123</v>
      </c>
      <c r="D54" s="1" t="s">
        <v>28</v>
      </c>
      <c r="E54" s="1">
        <v>50</v>
      </c>
      <c r="F54" s="3">
        <v>500</v>
      </c>
      <c r="G54" s="3">
        <f t="shared" si="0"/>
        <v>25000</v>
      </c>
    </row>
    <row r="55" spans="2:9" x14ac:dyDescent="0.2">
      <c r="B55" s="1">
        <v>52</v>
      </c>
      <c r="C55" t="s">
        <v>125</v>
      </c>
      <c r="D55" s="1" t="s">
        <v>28</v>
      </c>
      <c r="E55" s="1">
        <v>2000</v>
      </c>
      <c r="F55" s="3">
        <v>50</v>
      </c>
      <c r="G55" s="3">
        <f t="shared" si="0"/>
        <v>100000</v>
      </c>
    </row>
    <row r="56" spans="2:9" x14ac:dyDescent="0.2">
      <c r="B56" s="1">
        <v>53</v>
      </c>
      <c r="C56" t="s">
        <v>127</v>
      </c>
      <c r="D56" s="1" t="s">
        <v>28</v>
      </c>
      <c r="E56" s="1">
        <v>500</v>
      </c>
      <c r="F56" s="3">
        <v>15</v>
      </c>
      <c r="G56" s="3">
        <f t="shared" si="0"/>
        <v>7500</v>
      </c>
    </row>
    <row r="57" spans="2:9" x14ac:dyDescent="0.2">
      <c r="B57" s="1">
        <v>54</v>
      </c>
      <c r="C57" t="s">
        <v>129</v>
      </c>
      <c r="D57" s="1" t="s">
        <v>28</v>
      </c>
      <c r="E57" s="1">
        <v>500</v>
      </c>
      <c r="F57" s="3">
        <v>15</v>
      </c>
      <c r="G57" s="3">
        <f t="shared" si="0"/>
        <v>7500</v>
      </c>
    </row>
    <row r="58" spans="2:9" x14ac:dyDescent="0.2">
      <c r="B58" s="1">
        <v>55</v>
      </c>
      <c r="C58" t="s">
        <v>131</v>
      </c>
      <c r="D58" s="1" t="s">
        <v>28</v>
      </c>
      <c r="E58" s="1">
        <v>500</v>
      </c>
      <c r="F58" s="3">
        <v>15</v>
      </c>
      <c r="G58" s="3">
        <f t="shared" si="0"/>
        <v>7500</v>
      </c>
    </row>
    <row r="59" spans="2:9" x14ac:dyDescent="0.2">
      <c r="B59" s="1">
        <v>56</v>
      </c>
      <c r="C59" t="s">
        <v>133</v>
      </c>
      <c r="D59" s="1" t="s">
        <v>28</v>
      </c>
      <c r="E59" s="1">
        <v>100</v>
      </c>
      <c r="F59" s="3">
        <v>20</v>
      </c>
      <c r="G59" s="3">
        <f t="shared" si="0"/>
        <v>2000</v>
      </c>
    </row>
    <row r="60" spans="2:9" x14ac:dyDescent="0.2">
      <c r="B60" s="1">
        <v>57</v>
      </c>
      <c r="C60" t="s">
        <v>135</v>
      </c>
      <c r="D60" s="1" t="s">
        <v>28</v>
      </c>
      <c r="E60" s="1">
        <v>100</v>
      </c>
      <c r="F60" s="3">
        <v>20</v>
      </c>
      <c r="G60" s="3">
        <f t="shared" si="0"/>
        <v>2000</v>
      </c>
    </row>
    <row r="61" spans="2:9" x14ac:dyDescent="0.2">
      <c r="B61" s="1">
        <v>58</v>
      </c>
      <c r="C61" t="s">
        <v>143</v>
      </c>
      <c r="D61" s="1" t="s">
        <v>28</v>
      </c>
      <c r="E61" s="1">
        <v>100</v>
      </c>
      <c r="F61" s="3">
        <v>150</v>
      </c>
      <c r="G61" s="3">
        <f t="shared" si="0"/>
        <v>15000</v>
      </c>
      <c r="H61" s="3">
        <v>100</v>
      </c>
      <c r="I61" s="4">
        <f>(H61*50%)+H61</f>
        <v>150</v>
      </c>
    </row>
    <row r="62" spans="2:9" x14ac:dyDescent="0.2">
      <c r="B62" s="1">
        <v>59</v>
      </c>
      <c r="C62" t="s">
        <v>145</v>
      </c>
      <c r="D62" s="1" t="s">
        <v>28</v>
      </c>
      <c r="E62" s="1">
        <v>2000</v>
      </c>
      <c r="F62" s="3">
        <v>0.3</v>
      </c>
      <c r="G62" s="3">
        <f t="shared" si="0"/>
        <v>600</v>
      </c>
    </row>
    <row r="63" spans="2:9" x14ac:dyDescent="0.2">
      <c r="B63" s="1">
        <v>60</v>
      </c>
      <c r="C63" t="s">
        <v>147</v>
      </c>
      <c r="D63" s="1" t="s">
        <v>148</v>
      </c>
      <c r="E63" s="1">
        <v>100</v>
      </c>
      <c r="F63" s="3">
        <v>100</v>
      </c>
      <c r="G63" s="3">
        <f t="shared" si="0"/>
        <v>10000</v>
      </c>
    </row>
    <row r="64" spans="2:9" x14ac:dyDescent="0.2">
      <c r="B64" s="1">
        <v>61</v>
      </c>
      <c r="C64" t="s">
        <v>150</v>
      </c>
      <c r="D64" s="1" t="s">
        <v>28</v>
      </c>
      <c r="E64" s="1">
        <v>10</v>
      </c>
      <c r="F64" s="3">
        <v>500</v>
      </c>
      <c r="G64" s="3">
        <f t="shared" si="0"/>
        <v>5000</v>
      </c>
    </row>
    <row r="65" spans="2:9" x14ac:dyDescent="0.2">
      <c r="B65" s="1">
        <v>62</v>
      </c>
      <c r="C65" t="s">
        <v>152</v>
      </c>
      <c r="D65" s="1" t="s">
        <v>28</v>
      </c>
      <c r="E65" s="1">
        <v>10</v>
      </c>
      <c r="F65" s="3">
        <v>500</v>
      </c>
      <c r="G65" s="3">
        <f t="shared" si="0"/>
        <v>5000</v>
      </c>
    </row>
    <row r="66" spans="2:9" x14ac:dyDescent="0.2">
      <c r="B66" s="1">
        <v>63</v>
      </c>
      <c r="C66" t="s">
        <v>154</v>
      </c>
      <c r="D66" s="1" t="s">
        <v>28</v>
      </c>
      <c r="E66" s="1">
        <v>10</v>
      </c>
      <c r="F66" s="3">
        <v>500</v>
      </c>
      <c r="G66" s="3">
        <f t="shared" si="0"/>
        <v>5000</v>
      </c>
    </row>
    <row r="67" spans="2:9" x14ac:dyDescent="0.2">
      <c r="B67" s="1">
        <v>64</v>
      </c>
      <c r="C67" t="s">
        <v>156</v>
      </c>
      <c r="D67" s="1" t="s">
        <v>28</v>
      </c>
      <c r="E67" s="1">
        <v>10</v>
      </c>
      <c r="F67" s="3">
        <v>500</v>
      </c>
      <c r="G67" s="3">
        <f t="shared" si="0"/>
        <v>5000</v>
      </c>
    </row>
    <row r="68" spans="2:9" x14ac:dyDescent="0.2">
      <c r="B68" s="1">
        <v>65</v>
      </c>
      <c r="C68" t="s">
        <v>158</v>
      </c>
      <c r="D68" s="1" t="s">
        <v>28</v>
      </c>
      <c r="E68" s="1">
        <v>10</v>
      </c>
      <c r="F68" s="3">
        <v>100</v>
      </c>
      <c r="G68" s="3">
        <f t="shared" si="0"/>
        <v>1000</v>
      </c>
    </row>
    <row r="69" spans="2:9" x14ac:dyDescent="0.2">
      <c r="B69" s="1">
        <v>66</v>
      </c>
      <c r="C69" t="s">
        <v>160</v>
      </c>
      <c r="D69" s="1" t="s">
        <v>28</v>
      </c>
      <c r="E69" s="1">
        <v>20</v>
      </c>
      <c r="F69" s="3">
        <v>400</v>
      </c>
      <c r="G69" s="3">
        <f t="shared" ref="G69:G73" si="1">F69*E69</f>
        <v>8000</v>
      </c>
      <c r="H69" s="3">
        <v>250</v>
      </c>
      <c r="I69" s="4">
        <f>(H69*50%)+H69</f>
        <v>375</v>
      </c>
    </row>
    <row r="70" spans="2:9" x14ac:dyDescent="0.2">
      <c r="B70" s="1">
        <v>67</v>
      </c>
      <c r="C70" t="s">
        <v>162</v>
      </c>
      <c r="D70" s="1" t="s">
        <v>28</v>
      </c>
      <c r="E70" s="1">
        <v>50</v>
      </c>
      <c r="F70" s="3">
        <v>75</v>
      </c>
      <c r="G70" s="3">
        <f t="shared" si="1"/>
        <v>3750</v>
      </c>
    </row>
    <row r="71" spans="2:9" x14ac:dyDescent="0.2">
      <c r="B71" s="1">
        <v>68</v>
      </c>
      <c r="C71" t="s">
        <v>164</v>
      </c>
      <c r="D71" s="1" t="s">
        <v>28</v>
      </c>
      <c r="E71" s="1">
        <v>50</v>
      </c>
      <c r="F71" s="3">
        <v>75</v>
      </c>
      <c r="G71" s="3">
        <f t="shared" si="1"/>
        <v>3750</v>
      </c>
    </row>
    <row r="72" spans="2:9" x14ac:dyDescent="0.2">
      <c r="B72" s="1">
        <v>69</v>
      </c>
      <c r="C72" t="s">
        <v>166</v>
      </c>
      <c r="D72" s="1" t="s">
        <v>28</v>
      </c>
      <c r="E72" s="1">
        <v>50</v>
      </c>
      <c r="F72" s="3">
        <v>75</v>
      </c>
      <c r="G72" s="3">
        <f t="shared" si="1"/>
        <v>3750</v>
      </c>
    </row>
    <row r="73" spans="2:9" x14ac:dyDescent="0.2">
      <c r="B73" s="1">
        <v>70</v>
      </c>
      <c r="C73" t="s">
        <v>168</v>
      </c>
      <c r="D73" s="1" t="s">
        <v>28</v>
      </c>
      <c r="E73" s="1">
        <v>50</v>
      </c>
      <c r="F73" s="3">
        <v>75</v>
      </c>
      <c r="G73" s="3">
        <f t="shared" si="1"/>
        <v>3750</v>
      </c>
    </row>
    <row r="75" spans="2:9" x14ac:dyDescent="0.2">
      <c r="F75" t="s">
        <v>172</v>
      </c>
      <c r="G75" s="5">
        <f>SUM(G4:G73)</f>
        <v>1465200</v>
      </c>
    </row>
    <row r="76" spans="2:9" x14ac:dyDescent="0.2">
      <c r="F76" t="s">
        <v>5</v>
      </c>
      <c r="G76" s="5">
        <f>20%*G75</f>
        <v>293040</v>
      </c>
    </row>
    <row r="77" spans="2:9" x14ac:dyDescent="0.2">
      <c r="F77" t="s">
        <v>4</v>
      </c>
      <c r="G77" s="5">
        <f>G76+G75</f>
        <v>1758240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Beautiful Creations </dc:creator>
  <cp:lastModifiedBy>Beautiful Creations</cp:lastModifiedBy>
  <dcterms:created xsi:type="dcterms:W3CDTF">2024-03-02T11:26:57Z</dcterms:created>
  <dcterms:modified xsi:type="dcterms:W3CDTF">2026-02-05T13:43:24Z</dcterms:modified>
</cp:coreProperties>
</file>